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录入" sheetId="1" state="visible" r:id="rId1"/>
    <sheet name="漏斗看板" sheetId="2" state="visible" r:id="rId2"/>
    <sheet name="填写说明" sheetId="3" state="visible" r:id="rId3"/>
  </sheets>
  <definedNames>
    <definedName name="_xlnm._FilterDatabase" localSheetId="0" hidden="1">'数据录入'!$A$4:$J$24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627D98"/>
      <sz val="10"/>
    </font>
    <font>
      <name val="Microsoft YaHei"/>
      <b val="1"/>
      <color rgb="00FFFFFF"/>
    </font>
    <font>
      <name val="Microsoft YaHei"/>
      <color rgb="001F3A52"/>
      <sz val="10"/>
    </font>
    <font>
      <name val="Microsoft YaHei"/>
      <b val="1"/>
      <color rgb="00FFFFFF"/>
      <sz val="22"/>
    </font>
    <font>
      <name val="Microsoft YaHei"/>
      <b val="1"/>
      <color rgb="00FFFFFF"/>
      <sz val="11"/>
    </font>
    <font>
      <name val="Microsoft YaHei"/>
      <b val="1"/>
      <color rgb="00203A54"/>
      <sz val="11"/>
    </font>
    <font>
      <name val="Microsoft YaHei"/>
      <color rgb="00203A54"/>
      <sz val="11"/>
    </font>
    <font>
      <name val="Microsoft YaHei"/>
      <b val="1"/>
      <color rgb="003D63D8"/>
      <sz val="25"/>
    </font>
    <font>
      <name val="Microsoft YaHei"/>
      <b val="1"/>
      <color rgb="007D55C7"/>
      <sz val="25"/>
    </font>
    <font>
      <name val="Microsoft YaHei"/>
      <b val="1"/>
      <color rgb="00E86D3E"/>
      <sz val="25"/>
    </font>
    <font>
      <name val="Microsoft YaHei"/>
      <b val="1"/>
      <color rgb="00159A78"/>
      <sz val="25"/>
    </font>
    <font>
      <name val="Microsoft YaHei"/>
      <b val="1"/>
      <color rgb="00627D98"/>
      <sz val="11"/>
    </font>
    <font>
      <name val="Microsoft YaHei"/>
      <b val="1"/>
      <color rgb="00FFFFFF"/>
      <sz val="10"/>
    </font>
    <font>
      <name val="Microsoft YaHei"/>
      <color rgb="00203A54"/>
      <sz val="10"/>
    </font>
    <font>
      <name val="Microsoft YaHei"/>
      <b val="1"/>
      <color rgb="00102A43"/>
      <sz val="13"/>
    </font>
    <font>
      <name val="Microsoft YaHei"/>
      <b val="1"/>
      <color rgb="003D63D8"/>
      <sz val="12"/>
    </font>
    <font>
      <name val="Microsoft YaHei"/>
      <color rgb="00324A61"/>
      <sz val="11"/>
    </font>
  </fonts>
  <fills count="18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AF1F8"/>
      </patternFill>
    </fill>
    <fill>
      <patternFill patternType="solid">
        <fgColor rgb="003D63D8"/>
      </patternFill>
    </fill>
    <fill>
      <patternFill patternType="solid">
        <fgColor rgb="00EAF3FF"/>
      </patternFill>
    </fill>
    <fill>
      <patternFill patternType="solid">
        <fgColor rgb="00EEF3FF"/>
      </patternFill>
    </fill>
    <fill>
      <patternFill patternType="solid">
        <fgColor rgb="00F1F4FF"/>
      </patternFill>
    </fill>
    <fill>
      <patternFill patternType="solid">
        <fgColor rgb="00F4F0FF"/>
      </patternFill>
    </fill>
    <fill>
      <patternFill patternType="solid">
        <fgColor rgb="00F8F3FF"/>
      </patternFill>
    </fill>
    <fill>
      <patternFill patternType="solid">
        <fgColor rgb="00FFF2EC"/>
      </patternFill>
    </fill>
    <fill>
      <patternFill patternType="solid">
        <fgColor rgb="00FFF8E7"/>
      </patternFill>
    </fill>
    <fill>
      <patternFill patternType="solid">
        <fgColor rgb="00EAF9F4"/>
      </patternFill>
    </fill>
    <fill>
      <patternFill patternType="solid">
        <fgColor rgb="00159A78"/>
      </patternFill>
    </fill>
    <fill>
      <patternFill patternType="solid">
        <fgColor rgb="007D55C7"/>
      </patternFill>
    </fill>
    <fill>
      <patternFill patternType="solid">
        <fgColor rgb="00F7FCFA"/>
      </patternFill>
    </fill>
    <fill>
      <patternFill patternType="solid">
        <fgColor rgb="00F4F8FB"/>
      </patternFill>
    </fill>
    <fill>
      <patternFill patternType="solid">
        <fgColor rgb="00F9FBFD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medium">
        <color rgb="00B8C9DA"/>
      </left>
      <right style="medium">
        <color rgb="00B8C9DA"/>
      </right>
      <top style="medium">
        <color rgb="00B8C9DA"/>
      </top>
      <bottom style="medium">
        <color rgb="00B8C9D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164" fontId="9" fillId="6" borderId="2" applyAlignment="1" pivotButton="0" quotePrefix="0" xfId="0">
      <alignment horizontal="center" vertical="center"/>
    </xf>
    <xf numFmtId="0" fontId="0" fillId="0" borderId="2" pivotButton="0" quotePrefix="0" xfId="0"/>
    <xf numFmtId="164" fontId="10" fillId="8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/>
    </xf>
    <xf numFmtId="164" fontId="15" fillId="1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164" fontId="15" fillId="12" borderId="1" applyAlignment="1" pivotButton="0" quotePrefix="0" xfId="0">
      <alignment horizontal="center" vertical="center"/>
    </xf>
    <xf numFmtId="0" fontId="16" fillId="16" borderId="0" pivotButton="0" quotePrefix="0" xfId="0"/>
    <xf numFmtId="0" fontId="2" fillId="1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/>
    </xf>
    <xf numFmtId="0" fontId="17" fillId="6" borderId="1" applyAlignment="1" pivotButton="0" quotePrefix="0" xfId="0">
      <alignment vertical="top"/>
    </xf>
    <xf numFmtId="0" fontId="18" fillId="17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整体会员增长漏斗（全市场汇总）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'漏斗看板'!B5</f>
            </strRef>
          </tx>
          <spPr>
            <a:ln>
              <a:prstDash val="solid"/>
            </a:ln>
          </spPr>
          <cat>
            <numRef>
              <f>'漏斗看板'!$A$6:$A$12</f>
            </numRef>
          </cat>
          <val>
            <numRef>
              <f>'漏斗看板'!$B$6:$B$12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用户数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漏斗阶段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GitHub Copilot</author>
  </authors>
  <commentList>
    <comment ref="C5" authorId="0" shapeId="0">
      <text>
        <t>填写“APP 下载”人数。所有阶段建议采用同一统计周期与去重口径。</t>
      </text>
    </comment>
    <comment ref="D5" authorId="0" shapeId="0">
      <text>
        <t>填写“注册”人数。所有阶段建议采用同一统计周期与去重口径。</t>
      </text>
    </comment>
    <comment ref="E5" authorId="0" shapeId="0">
      <text>
        <t>填写“激活”人数。所有阶段建议采用同一统计周期与去重口径。</t>
      </text>
    </comment>
    <comment ref="F5" authorId="0" shapeId="0">
      <text>
        <t>填写“首购”人数。所有阶段建议采用同一统计周期与去重口径。</t>
      </text>
    </comment>
    <comment ref="G5" authorId="0" shapeId="0">
      <text>
        <t>填写“复购”人数。所有阶段建议采用同一统计周期与去重口径。</t>
      </text>
    </comment>
    <comment ref="H5" authorId="0" shapeId="0">
      <text>
        <t>填写“留存”人数。所有阶段建议采用同一统计周期与去重口径。</t>
      </text>
    </comment>
    <comment ref="I5" authorId="0" shapeId="0">
      <text>
        <t>填写“券核销”人数。所有阶段建议采用同一统计周期与去重口径。</t>
      </text>
    </comment>
    <comment ref="C6" authorId="0" shapeId="0">
      <text>
        <t>填写“APP 下载”人数。所有阶段建议采用同一统计周期与去重口径。</t>
      </text>
    </comment>
    <comment ref="D6" authorId="0" shapeId="0">
      <text>
        <t>填写“注册”人数。所有阶段建议采用同一统计周期与去重口径。</t>
      </text>
    </comment>
    <comment ref="E6" authorId="0" shapeId="0">
      <text>
        <t>填写“激活”人数。所有阶段建议采用同一统计周期与去重口径。</t>
      </text>
    </comment>
    <comment ref="F6" authorId="0" shapeId="0">
      <text>
        <t>填写“首购”人数。所有阶段建议采用同一统计周期与去重口径。</t>
      </text>
    </comment>
    <comment ref="G6" authorId="0" shapeId="0">
      <text>
        <t>填写“复购”人数。所有阶段建议采用同一统计周期与去重口径。</t>
      </text>
    </comment>
    <comment ref="H6" authorId="0" shapeId="0">
      <text>
        <t>填写“留存”人数。所有阶段建议采用同一统计周期与去重口径。</t>
      </text>
    </comment>
    <comment ref="I6" authorId="0" shapeId="0">
      <text>
        <t>填写“券核销”人数。所有阶段建议采用同一统计周期与去重口径。</t>
      </text>
    </comment>
    <comment ref="C7" authorId="0" shapeId="0">
      <text>
        <t>填写“APP 下载”人数。所有阶段建议采用同一统计周期与去重口径。</t>
      </text>
    </comment>
    <comment ref="D7" authorId="0" shapeId="0">
      <text>
        <t>填写“注册”人数。所有阶段建议采用同一统计周期与去重口径。</t>
      </text>
    </comment>
    <comment ref="E7" authorId="0" shapeId="0">
      <text>
        <t>填写“激活”人数。所有阶段建议采用同一统计周期与去重口径。</t>
      </text>
    </comment>
    <comment ref="F7" authorId="0" shapeId="0">
      <text>
        <t>填写“首购”人数。所有阶段建议采用同一统计周期与去重口径。</t>
      </text>
    </comment>
    <comment ref="G7" authorId="0" shapeId="0">
      <text>
        <t>填写“复购”人数。所有阶段建议采用同一统计周期与去重口径。</t>
      </text>
    </comment>
    <comment ref="H7" authorId="0" shapeId="0">
      <text>
        <t>填写“留存”人数。所有阶段建议采用同一统计周期与去重口径。</t>
      </text>
    </comment>
    <comment ref="I7" authorId="0" shapeId="0">
      <text>
        <t>填写“券核销”人数。所有阶段建议采用同一统计周期与去重口径。</t>
      </text>
    </comment>
    <comment ref="C8" authorId="0" shapeId="0">
      <text>
        <t>填写“APP 下载”人数。所有阶段建议采用同一统计周期与去重口径。</t>
      </text>
    </comment>
    <comment ref="D8" authorId="0" shapeId="0">
      <text>
        <t>填写“注册”人数。所有阶段建议采用同一统计周期与去重口径。</t>
      </text>
    </comment>
    <comment ref="E8" authorId="0" shapeId="0">
      <text>
        <t>填写“激活”人数。所有阶段建议采用同一统计周期与去重口径。</t>
      </text>
    </comment>
    <comment ref="F8" authorId="0" shapeId="0">
      <text>
        <t>填写“首购”人数。所有阶段建议采用同一统计周期与去重口径。</t>
      </text>
    </comment>
    <comment ref="G8" authorId="0" shapeId="0">
      <text>
        <t>填写“复购”人数。所有阶段建议采用同一统计周期与去重口径。</t>
      </text>
    </comment>
    <comment ref="H8" authorId="0" shapeId="0">
      <text>
        <t>填写“留存”人数。所有阶段建议采用同一统计周期与去重口径。</t>
      </text>
    </comment>
    <comment ref="I8" authorId="0" shapeId="0">
      <text>
        <t>填写“券核销”人数。所有阶段建议采用同一统计周期与去重口径。</t>
      </text>
    </comment>
    <comment ref="C9" authorId="0" shapeId="0">
      <text>
        <t>填写“APP 下载”人数。所有阶段建议采用同一统计周期与去重口径。</t>
      </text>
    </comment>
    <comment ref="D9" authorId="0" shapeId="0">
      <text>
        <t>填写“注册”人数。所有阶段建议采用同一统计周期与去重口径。</t>
      </text>
    </comment>
    <comment ref="E9" authorId="0" shapeId="0">
      <text>
        <t>填写“激活”人数。所有阶段建议采用同一统计周期与去重口径。</t>
      </text>
    </comment>
    <comment ref="F9" authorId="0" shapeId="0">
      <text>
        <t>填写“首购”人数。所有阶段建议采用同一统计周期与去重口径。</t>
      </text>
    </comment>
    <comment ref="G9" authorId="0" shapeId="0">
      <text>
        <t>填写“复购”人数。所有阶段建议采用同一统计周期与去重口径。</t>
      </text>
    </comment>
    <comment ref="H9" authorId="0" shapeId="0">
      <text>
        <t>填写“留存”人数。所有阶段建议采用同一统计周期与去重口径。</t>
      </text>
    </comment>
    <comment ref="I9" authorId="0" shapeId="0">
      <text>
        <t>填写“券核销”人数。所有阶段建议采用同一统计周期与去重口径。</t>
      </text>
    </comment>
  </commentList>
</comments>
</file>

<file path=xl/comments/comment2.xml><?xml version="1.0" encoding="utf-8"?>
<comments xmlns="http://schemas.openxmlformats.org/spreadsheetml/2006/main">
  <authors>
    <author>GitHub Copilot</author>
  </authors>
  <commentList>
    <comment ref="A15" authorId="0" shapeId="0">
      <text>
        <t>下载 → 注册</t>
      </text>
    </comment>
    <comment ref="E15" authorId="0" shapeId="0">
      <text>
        <t>注册 → 激活</t>
      </text>
    </comment>
    <comment ref="I15" authorId="0" shapeId="0">
      <text>
        <t>激活 → 首购</t>
      </text>
    </comment>
    <comment ref="M15" authorId="0" shapeId="0">
      <text>
        <t>首购 → 复购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940000" cy="36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会员漏斗明细" displayName="会员漏斗明细" ref="A4:J24" headerRowCount="1">
  <autoFilter ref="A4:J24"/>
  <tableColumns count="10">
    <tableColumn id="1" name="统计周期"/>
    <tableColumn id="2" name="国家/市场"/>
    <tableColumn id="3" name="APP 下载"/>
    <tableColumn id="4" name="注册"/>
    <tableColumn id="5" name="激活"/>
    <tableColumn id="6" name="首购"/>
    <tableColumn id="7" name="复购"/>
    <tableColumn id="8" name="留存"/>
    <tableColumn id="9" name="券核销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 ht="38" customHeight="1">
      <c r="A1" s="1" t="inlineStr">
        <is>
          <t>海外会员体系增长漏斗｜可编辑数据模板</t>
        </is>
      </c>
    </row>
    <row r="2" ht="29" customHeight="1">
      <c r="A2" s="2" t="inlineStr">
        <is>
          <t>填写方式：每行代表一个国家 / 市场在一个统计周期内的漏斗数据。请填入蓝色区域，漏斗看板与转化率会自动更新。</t>
        </is>
      </c>
    </row>
    <row r="4" ht="30" customHeight="1">
      <c r="A4" s="3" t="inlineStr">
        <is>
          <t>统计周期</t>
        </is>
      </c>
      <c r="B4" s="3" t="inlineStr">
        <is>
          <t>国家/市场</t>
        </is>
      </c>
      <c r="C4" s="3" t="inlineStr">
        <is>
          <t>APP 下载</t>
        </is>
      </c>
      <c r="D4" s="3" t="inlineStr">
        <is>
          <t>注册</t>
        </is>
      </c>
      <c r="E4" s="3" t="inlineStr">
        <is>
          <t>激活</t>
        </is>
      </c>
      <c r="F4" s="3" t="inlineStr">
        <is>
          <t>首购</t>
        </is>
      </c>
      <c r="G4" s="3" t="inlineStr">
        <is>
          <t>复购</t>
        </is>
      </c>
      <c r="H4" s="3" t="inlineStr">
        <is>
          <t>留存</t>
        </is>
      </c>
      <c r="I4" s="3" t="inlineStr">
        <is>
          <t>券核销</t>
        </is>
      </c>
      <c r="J4" s="3" t="inlineStr">
        <is>
          <t>备注</t>
        </is>
      </c>
    </row>
    <row r="5" ht="24" customHeight="1">
      <c r="A5" s="4" t="inlineStr">
        <is>
          <t>2026 H1</t>
        </is>
      </c>
      <c r="B5" s="4" t="inlineStr">
        <is>
          <t>美国</t>
        </is>
      </c>
      <c r="C5" s="5" t="n"/>
      <c r="D5" s="5" t="n"/>
      <c r="E5" s="5" t="n"/>
      <c r="F5" s="5" t="n"/>
      <c r="G5" s="5" t="n"/>
      <c r="H5" s="5" t="n"/>
      <c r="I5" s="5" t="n"/>
      <c r="J5" s="6" t="inlineStr"/>
    </row>
    <row r="6" ht="24" customHeight="1">
      <c r="A6" s="4" t="inlineStr">
        <is>
          <t>2026 H1</t>
        </is>
      </c>
      <c r="B6" s="4" t="inlineStr">
        <is>
          <t>马来西亚</t>
        </is>
      </c>
      <c r="C6" s="5" t="n"/>
      <c r="D6" s="5" t="n"/>
      <c r="E6" s="5" t="n"/>
      <c r="F6" s="5" t="n"/>
      <c r="G6" s="5" t="n"/>
      <c r="H6" s="5" t="n"/>
      <c r="I6" s="5" t="n"/>
      <c r="J6" s="6" t="inlineStr"/>
    </row>
    <row r="7" ht="24" customHeight="1">
      <c r="A7" s="4" t="inlineStr">
        <is>
          <t>2026 H1</t>
        </is>
      </c>
      <c r="B7" s="4" t="inlineStr">
        <is>
          <t>英国</t>
        </is>
      </c>
      <c r="C7" s="5" t="n"/>
      <c r="D7" s="5" t="n"/>
      <c r="E7" s="5" t="n"/>
      <c r="F7" s="5" t="n"/>
      <c r="G7" s="5" t="n"/>
      <c r="H7" s="5" t="n"/>
      <c r="I7" s="5" t="n"/>
      <c r="J7" s="6" t="inlineStr"/>
    </row>
    <row r="8" ht="24" customHeight="1">
      <c r="A8" s="4" t="inlineStr">
        <is>
          <t>2026 H1</t>
        </is>
      </c>
      <c r="B8" s="4" t="inlineStr">
        <is>
          <t>韩国</t>
        </is>
      </c>
      <c r="C8" s="5" t="n"/>
      <c r="D8" s="5" t="n"/>
      <c r="E8" s="5" t="n"/>
      <c r="F8" s="5" t="n"/>
      <c r="G8" s="5" t="n"/>
      <c r="H8" s="5" t="n"/>
      <c r="I8" s="5" t="n"/>
      <c r="J8" s="6" t="inlineStr"/>
    </row>
    <row r="9" ht="24" customHeight="1">
      <c r="A9" s="4" t="inlineStr">
        <is>
          <t>2026 H1</t>
        </is>
      </c>
      <c r="B9" s="4" t="inlineStr">
        <is>
          <t>澳洲</t>
        </is>
      </c>
      <c r="C9" s="5" t="n"/>
      <c r="D9" s="5" t="n"/>
      <c r="E9" s="5" t="n"/>
      <c r="F9" s="5" t="n"/>
      <c r="G9" s="5" t="n"/>
      <c r="H9" s="5" t="n"/>
      <c r="I9" s="5" t="n"/>
      <c r="J9" s="6" t="inlineStr"/>
    </row>
    <row r="10" ht="22" customHeight="1">
      <c r="A10" s="4" t="n"/>
      <c r="B10" s="4" t="n"/>
      <c r="C10" s="5" t="n"/>
      <c r="D10" s="5" t="n"/>
      <c r="E10" s="5" t="n"/>
      <c r="F10" s="5" t="n"/>
      <c r="G10" s="5" t="n"/>
      <c r="H10" s="5" t="n"/>
      <c r="I10" s="5" t="n"/>
      <c r="J10" s="4" t="n"/>
    </row>
    <row r="11" ht="22" customHeight="1">
      <c r="A11" s="4" t="n"/>
      <c r="B11" s="4" t="n"/>
      <c r="C11" s="5" t="n"/>
      <c r="D11" s="5" t="n"/>
      <c r="E11" s="5" t="n"/>
      <c r="F11" s="5" t="n"/>
      <c r="G11" s="5" t="n"/>
      <c r="H11" s="5" t="n"/>
      <c r="I11" s="5" t="n"/>
      <c r="J11" s="4" t="n"/>
    </row>
    <row r="12" ht="22" customHeight="1">
      <c r="A12" s="4" t="n"/>
      <c r="B12" s="4" t="n"/>
      <c r="C12" s="5" t="n"/>
      <c r="D12" s="5" t="n"/>
      <c r="E12" s="5" t="n"/>
      <c r="F12" s="5" t="n"/>
      <c r="G12" s="5" t="n"/>
      <c r="H12" s="5" t="n"/>
      <c r="I12" s="5" t="n"/>
      <c r="J12" s="4" t="n"/>
    </row>
    <row r="13" ht="22" customHeight="1">
      <c r="A13" s="4" t="n"/>
      <c r="B13" s="4" t="n"/>
      <c r="C13" s="5" t="n"/>
      <c r="D13" s="5" t="n"/>
      <c r="E13" s="5" t="n"/>
      <c r="F13" s="5" t="n"/>
      <c r="G13" s="5" t="n"/>
      <c r="H13" s="5" t="n"/>
      <c r="I13" s="5" t="n"/>
      <c r="J13" s="4" t="n"/>
    </row>
    <row r="14" ht="22" customHeight="1">
      <c r="A14" s="4" t="n"/>
      <c r="B14" s="4" t="n"/>
      <c r="C14" s="5" t="n"/>
      <c r="D14" s="5" t="n"/>
      <c r="E14" s="5" t="n"/>
      <c r="F14" s="5" t="n"/>
      <c r="G14" s="5" t="n"/>
      <c r="H14" s="5" t="n"/>
      <c r="I14" s="5" t="n"/>
      <c r="J14" s="4" t="n"/>
    </row>
    <row r="15" ht="22" customHeight="1">
      <c r="A15" s="4" t="n"/>
      <c r="B15" s="4" t="n"/>
      <c r="C15" s="5" t="n"/>
      <c r="D15" s="5" t="n"/>
      <c r="E15" s="5" t="n"/>
      <c r="F15" s="5" t="n"/>
      <c r="G15" s="5" t="n"/>
      <c r="H15" s="5" t="n"/>
      <c r="I15" s="5" t="n"/>
      <c r="J15" s="4" t="n"/>
    </row>
    <row r="16" ht="22" customHeight="1">
      <c r="A16" s="4" t="n"/>
      <c r="B16" s="4" t="n"/>
      <c r="C16" s="5" t="n"/>
      <c r="D16" s="5" t="n"/>
      <c r="E16" s="5" t="n"/>
      <c r="F16" s="5" t="n"/>
      <c r="G16" s="5" t="n"/>
      <c r="H16" s="5" t="n"/>
      <c r="I16" s="5" t="n"/>
      <c r="J16" s="4" t="n"/>
    </row>
    <row r="17" ht="22" customHeight="1">
      <c r="A17" s="4" t="n"/>
      <c r="B17" s="4" t="n"/>
      <c r="C17" s="5" t="n"/>
      <c r="D17" s="5" t="n"/>
      <c r="E17" s="5" t="n"/>
      <c r="F17" s="5" t="n"/>
      <c r="G17" s="5" t="n"/>
      <c r="H17" s="5" t="n"/>
      <c r="I17" s="5" t="n"/>
      <c r="J17" s="4" t="n"/>
    </row>
    <row r="18" ht="22" customHeight="1">
      <c r="A18" s="4" t="n"/>
      <c r="B18" s="4" t="n"/>
      <c r="C18" s="5" t="n"/>
      <c r="D18" s="5" t="n"/>
      <c r="E18" s="5" t="n"/>
      <c r="F18" s="5" t="n"/>
      <c r="G18" s="5" t="n"/>
      <c r="H18" s="5" t="n"/>
      <c r="I18" s="5" t="n"/>
      <c r="J18" s="4" t="n"/>
    </row>
    <row r="19" ht="22" customHeight="1">
      <c r="A19" s="4" t="n"/>
      <c r="B19" s="4" t="n"/>
      <c r="C19" s="5" t="n"/>
      <c r="D19" s="5" t="n"/>
      <c r="E19" s="5" t="n"/>
      <c r="F19" s="5" t="n"/>
      <c r="G19" s="5" t="n"/>
      <c r="H19" s="5" t="n"/>
      <c r="I19" s="5" t="n"/>
      <c r="J19" s="4" t="n"/>
    </row>
    <row r="20" ht="22" customHeight="1">
      <c r="A20" s="4" t="n"/>
      <c r="B20" s="4" t="n"/>
      <c r="C20" s="5" t="n"/>
      <c r="D20" s="5" t="n"/>
      <c r="E20" s="5" t="n"/>
      <c r="F20" s="5" t="n"/>
      <c r="G20" s="5" t="n"/>
      <c r="H20" s="5" t="n"/>
      <c r="I20" s="5" t="n"/>
      <c r="J20" s="4" t="n"/>
    </row>
    <row r="21" ht="22" customHeight="1">
      <c r="A21" s="4" t="n"/>
      <c r="B21" s="4" t="n"/>
      <c r="C21" s="5" t="n"/>
      <c r="D21" s="5" t="n"/>
      <c r="E21" s="5" t="n"/>
      <c r="F21" s="5" t="n"/>
      <c r="G21" s="5" t="n"/>
      <c r="H21" s="5" t="n"/>
      <c r="I21" s="5" t="n"/>
      <c r="J21" s="4" t="n"/>
    </row>
    <row r="22" ht="22" customHeight="1">
      <c r="A22" s="4" t="n"/>
      <c r="B22" s="4" t="n"/>
      <c r="C22" s="5" t="n"/>
      <c r="D22" s="5" t="n"/>
      <c r="E22" s="5" t="n"/>
      <c r="F22" s="5" t="n"/>
      <c r="G22" s="5" t="n"/>
      <c r="H22" s="5" t="n"/>
      <c r="I22" s="5" t="n"/>
      <c r="J22" s="4" t="n"/>
    </row>
    <row r="23" ht="22" customHeight="1">
      <c r="A23" s="4" t="n"/>
      <c r="B23" s="4" t="n"/>
      <c r="C23" s="5" t="n"/>
      <c r="D23" s="5" t="n"/>
      <c r="E23" s="5" t="n"/>
      <c r="F23" s="5" t="n"/>
      <c r="G23" s="5" t="n"/>
      <c r="H23" s="5" t="n"/>
      <c r="I23" s="5" t="n"/>
      <c r="J23" s="4" t="n"/>
    </row>
    <row r="24" ht="22" customHeight="1">
      <c r="A24" s="4" t="n"/>
      <c r="B24" s="4" t="n"/>
      <c r="C24" s="5" t="n"/>
      <c r="D24" s="5" t="n"/>
      <c r="E24" s="5" t="n"/>
      <c r="F24" s="5" t="n"/>
      <c r="G24" s="5" t="n"/>
      <c r="H24" s="5" t="n"/>
      <c r="I24" s="5" t="n"/>
      <c r="J24" s="4" t="n"/>
    </row>
  </sheetData>
  <autoFilter ref="A4:J24"/>
  <mergeCells count="2">
    <mergeCell ref="A1:J1"/>
    <mergeCell ref="A2:J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zoomScale="8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7" t="inlineStr">
        <is>
          <t>会员体系增长漏斗｜可编辑模板</t>
        </is>
      </c>
    </row>
    <row r="2" ht="25" customHeight="1">
      <c r="A2" s="8" t="inlineStr">
        <is>
          <t>默认展示全部市场汇总漏斗；下方同时提供各市场漏斗对比表与关键转化率，支持根据实际数据做阶段诊断。</t>
        </is>
      </c>
    </row>
    <row r="5">
      <c r="A5" s="9" t="inlineStr">
        <is>
          <t>漏斗阶段</t>
        </is>
      </c>
      <c r="B5" s="9" t="inlineStr">
        <is>
          <t>人数</t>
        </is>
      </c>
      <c r="C5" s="9" t="inlineStr">
        <is>
          <t>阶段转化率</t>
        </is>
      </c>
      <c r="D5" s="9" t="inlineStr">
        <is>
          <t>累计转化率</t>
        </is>
      </c>
      <c r="E5" s="9" t="inlineStr">
        <is>
          <t>诊断问题 / 备注</t>
        </is>
      </c>
    </row>
    <row r="6" ht="28" customHeight="1">
      <c r="A6" s="10" t="inlineStr">
        <is>
          <t>APP 下载</t>
        </is>
      </c>
      <c r="B6" s="11">
        <f>SUM(数据录入!C$5:C$24)</f>
        <v/>
      </c>
      <c r="C6" s="12" t="inlineStr">
        <is>
          <t>—</t>
        </is>
      </c>
      <c r="D6" s="12" t="inlineStr">
        <is>
          <t>100.0%</t>
        </is>
      </c>
      <c r="E6" s="13" t="n"/>
    </row>
    <row r="7" ht="28" customHeight="1">
      <c r="A7" s="14" t="inlineStr">
        <is>
          <t>注册</t>
        </is>
      </c>
      <c r="B7" s="15">
        <f>SUM(数据录入!D$5:D$24)</f>
        <v/>
      </c>
      <c r="C7" s="16">
        <f>IFERROR(B7/B6,"")</f>
        <v/>
      </c>
      <c r="D7" s="16">
        <f>IFERROR(B7/$B$6,"")</f>
        <v/>
      </c>
      <c r="E7" s="17" t="n"/>
    </row>
    <row r="8" ht="28" customHeight="1">
      <c r="A8" s="18" t="inlineStr">
        <is>
          <t>激活</t>
        </is>
      </c>
      <c r="B8" s="19">
        <f>SUM(数据录入!E$5:E$24)</f>
        <v/>
      </c>
      <c r="C8" s="20">
        <f>IFERROR(B8/B7,"")</f>
        <v/>
      </c>
      <c r="D8" s="20">
        <f>IFERROR(B8/$B$6,"")</f>
        <v/>
      </c>
      <c r="E8" s="21" t="n"/>
    </row>
    <row r="9" ht="28" customHeight="1">
      <c r="A9" s="22" t="inlineStr">
        <is>
          <t>首购</t>
        </is>
      </c>
      <c r="B9" s="23">
        <f>SUM(数据录入!F$5:F$24)</f>
        <v/>
      </c>
      <c r="C9" s="24">
        <f>IFERROR(B9/B8,"")</f>
        <v/>
      </c>
      <c r="D9" s="24">
        <f>IFERROR(B9/$B$6,"")</f>
        <v/>
      </c>
      <c r="E9" s="25" t="n"/>
    </row>
    <row r="10" ht="28" customHeight="1">
      <c r="A10" s="26" t="inlineStr">
        <is>
          <t>复购</t>
        </is>
      </c>
      <c r="B10" s="27">
        <f>SUM(数据录入!G$5:G$24)</f>
        <v/>
      </c>
      <c r="C10" s="28">
        <f>IFERROR(B10/B9,"")</f>
        <v/>
      </c>
      <c r="D10" s="28">
        <f>IFERROR(B10/$B$6,"")</f>
        <v/>
      </c>
      <c r="E10" s="29" t="n"/>
    </row>
    <row r="11" ht="28" customHeight="1">
      <c r="A11" s="30" t="inlineStr">
        <is>
          <t>留存</t>
        </is>
      </c>
      <c r="B11" s="31">
        <f>SUM(数据录入!H$5:H$24)</f>
        <v/>
      </c>
      <c r="C11" s="32">
        <f>IFERROR(B11/B10,"")</f>
        <v/>
      </c>
      <c r="D11" s="32">
        <f>IFERROR(B11/$B$6,"")</f>
        <v/>
      </c>
      <c r="E11" s="33" t="n"/>
    </row>
    <row r="12" ht="28" customHeight="1">
      <c r="A12" s="34" t="inlineStr">
        <is>
          <t>券核销</t>
        </is>
      </c>
      <c r="B12" s="35">
        <f>SUM(数据录入!I$5:I$24)</f>
        <v/>
      </c>
      <c r="C12" s="36">
        <f>IFERROR(B12/B11,"")</f>
        <v/>
      </c>
      <c r="D12" s="36">
        <f>IFERROR(B12/$B$6,"")</f>
        <v/>
      </c>
      <c r="E12" s="37" t="n"/>
    </row>
    <row r="14">
      <c r="A14" s="38" t="inlineStr">
        <is>
          <t>下载 → 注册</t>
        </is>
      </c>
      <c r="E14" s="38" t="inlineStr">
        <is>
          <t>注册 → 激活</t>
        </is>
      </c>
      <c r="I14" s="38" t="inlineStr">
        <is>
          <t>激活 → 首购</t>
        </is>
      </c>
      <c r="M14" s="38" t="inlineStr">
        <is>
          <t>首购 → 复购</t>
        </is>
      </c>
    </row>
    <row r="15">
      <c r="A15" s="39">
        <f>IFERROR(B7/B6,"")</f>
        <v/>
      </c>
      <c r="B15" s="40" t="n"/>
      <c r="C15" s="40" t="n"/>
      <c r="D15" s="40" t="n"/>
      <c r="E15" s="41">
        <f>IFERROR(B8/B7,"")</f>
        <v/>
      </c>
      <c r="F15" s="40" t="n"/>
      <c r="G15" s="40" t="n"/>
      <c r="H15" s="40" t="n"/>
      <c r="I15" s="42">
        <f>IFERROR(B9/B8,"")</f>
        <v/>
      </c>
      <c r="J15" s="40" t="n"/>
      <c r="K15" s="40" t="n"/>
      <c r="L15" s="40" t="n"/>
      <c r="M15" s="43">
        <f>IFERROR(B10/B9,"")</f>
        <v/>
      </c>
      <c r="N15" s="40" t="n"/>
      <c r="O15" s="40" t="n"/>
      <c r="P15" s="40" t="n"/>
      <c r="Q15" s="40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</row>
    <row r="17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</row>
    <row r="22">
      <c r="A22" s="44" t="inlineStr">
        <is>
          <t>国家/市场</t>
        </is>
      </c>
      <c r="B22" s="44" t="inlineStr">
        <is>
          <t>APP 下载</t>
        </is>
      </c>
      <c r="C22" s="44" t="inlineStr">
        <is>
          <t>注册</t>
        </is>
      </c>
      <c r="D22" s="44" t="inlineStr">
        <is>
          <t>激活</t>
        </is>
      </c>
      <c r="E22" s="44" t="inlineStr">
        <is>
          <t>首购</t>
        </is>
      </c>
      <c r="F22" s="44" t="inlineStr">
        <is>
          <t>复购</t>
        </is>
      </c>
      <c r="G22" s="44" t="inlineStr">
        <is>
          <t>留存</t>
        </is>
      </c>
      <c r="H22" s="44" t="inlineStr">
        <is>
          <t>券核销</t>
        </is>
      </c>
      <c r="I22" s="45" t="inlineStr">
        <is>
          <t>首购率</t>
        </is>
      </c>
      <c r="J22" s="45" t="inlineStr">
        <is>
          <t>复购率</t>
        </is>
      </c>
      <c r="K22" s="45" t="inlineStr">
        <is>
          <t>留存率</t>
        </is>
      </c>
      <c r="L22" s="45" t="inlineStr">
        <is>
          <t>券核销率</t>
        </is>
      </c>
    </row>
    <row r="23">
      <c r="A23" s="46" t="inlineStr">
        <is>
          <t>美国</t>
        </is>
      </c>
      <c r="B23" s="46">
        <f>SUMIF(数据录入!$B$5:$B$24,$A23,数据录入!$C$5:$C$24)</f>
        <v/>
      </c>
      <c r="C23" s="46">
        <f>SUMIF(数据录入!$B$5:$B$24,$A23,数据录入!$D$5:$D$24)</f>
        <v/>
      </c>
      <c r="D23" s="46">
        <f>SUMIF(数据录入!$B$5:$B$24,$A23,数据录入!$E$5:$E$24)</f>
        <v/>
      </c>
      <c r="E23" s="46">
        <f>SUMIF(数据录入!$B$5:$B$24,$A23,数据录入!$F$5:$F$24)</f>
        <v/>
      </c>
      <c r="F23" s="46">
        <f>SUMIF(数据录入!$B$5:$B$24,$A23,数据录入!$G$5:$G$24)</f>
        <v/>
      </c>
      <c r="G23" s="46">
        <f>SUMIF(数据录入!$B$5:$B$24,$A23,数据录入!$H$5:$H$24)</f>
        <v/>
      </c>
      <c r="H23" s="46">
        <f>SUMIF(数据录入!$B$5:$B$24,$A23,数据录入!$I$5:$I$24)</f>
        <v/>
      </c>
      <c r="I23" s="47">
        <f>IFERROR(E23/C23,"")</f>
        <v/>
      </c>
      <c r="J23" s="47">
        <f>IFERROR(F23/E23,"")</f>
        <v/>
      </c>
      <c r="K23" s="47">
        <f>IFERROR(G23/E23,"")</f>
        <v/>
      </c>
      <c r="L23" s="47">
        <f>IFERROR(H23/E23,"")</f>
        <v/>
      </c>
    </row>
    <row r="24">
      <c r="A24" s="48" t="inlineStr">
        <is>
          <t>马来西亚</t>
        </is>
      </c>
      <c r="B24" s="48">
        <f>SUMIF(数据录入!$B$5:$B$24,$A24,数据录入!$C$5:$C$24)</f>
        <v/>
      </c>
      <c r="C24" s="48">
        <f>SUMIF(数据录入!$B$5:$B$24,$A24,数据录入!$D$5:$D$24)</f>
        <v/>
      </c>
      <c r="D24" s="48">
        <f>SUMIF(数据录入!$B$5:$B$24,$A24,数据录入!$E$5:$E$24)</f>
        <v/>
      </c>
      <c r="E24" s="48">
        <f>SUMIF(数据录入!$B$5:$B$24,$A24,数据录入!$F$5:$F$24)</f>
        <v/>
      </c>
      <c r="F24" s="48">
        <f>SUMIF(数据录入!$B$5:$B$24,$A24,数据录入!$G$5:$G$24)</f>
        <v/>
      </c>
      <c r="G24" s="48">
        <f>SUMIF(数据录入!$B$5:$B$24,$A24,数据录入!$H$5:$H$24)</f>
        <v/>
      </c>
      <c r="H24" s="48">
        <f>SUMIF(数据录入!$B$5:$B$24,$A24,数据录入!$I$5:$I$24)</f>
        <v/>
      </c>
      <c r="I24" s="49">
        <f>IFERROR(E24/C24,"")</f>
        <v/>
      </c>
      <c r="J24" s="49">
        <f>IFERROR(F24/E24,"")</f>
        <v/>
      </c>
      <c r="K24" s="49">
        <f>IFERROR(G24/E24,"")</f>
        <v/>
      </c>
      <c r="L24" s="49">
        <f>IFERROR(H24/E24,"")</f>
        <v/>
      </c>
    </row>
    <row r="25">
      <c r="A25" s="46" t="inlineStr">
        <is>
          <t>英国</t>
        </is>
      </c>
      <c r="B25" s="46">
        <f>SUMIF(数据录入!$B$5:$B$24,$A25,数据录入!$C$5:$C$24)</f>
        <v/>
      </c>
      <c r="C25" s="46">
        <f>SUMIF(数据录入!$B$5:$B$24,$A25,数据录入!$D$5:$D$24)</f>
        <v/>
      </c>
      <c r="D25" s="46">
        <f>SUMIF(数据录入!$B$5:$B$24,$A25,数据录入!$E$5:$E$24)</f>
        <v/>
      </c>
      <c r="E25" s="46">
        <f>SUMIF(数据录入!$B$5:$B$24,$A25,数据录入!$F$5:$F$24)</f>
        <v/>
      </c>
      <c r="F25" s="46">
        <f>SUMIF(数据录入!$B$5:$B$24,$A25,数据录入!$G$5:$G$24)</f>
        <v/>
      </c>
      <c r="G25" s="46">
        <f>SUMIF(数据录入!$B$5:$B$24,$A25,数据录入!$H$5:$H$24)</f>
        <v/>
      </c>
      <c r="H25" s="46">
        <f>SUMIF(数据录入!$B$5:$B$24,$A25,数据录入!$I$5:$I$24)</f>
        <v/>
      </c>
      <c r="I25" s="47">
        <f>IFERROR(E25/C25,"")</f>
        <v/>
      </c>
      <c r="J25" s="47">
        <f>IFERROR(F25/E25,"")</f>
        <v/>
      </c>
      <c r="K25" s="47">
        <f>IFERROR(G25/E25,"")</f>
        <v/>
      </c>
      <c r="L25" s="47">
        <f>IFERROR(H25/E25,"")</f>
        <v/>
      </c>
    </row>
    <row r="26">
      <c r="A26" s="48" t="inlineStr">
        <is>
          <t>韩国</t>
        </is>
      </c>
      <c r="B26" s="48">
        <f>SUMIF(数据录入!$B$5:$B$24,$A26,数据录入!$C$5:$C$24)</f>
        <v/>
      </c>
      <c r="C26" s="48">
        <f>SUMIF(数据录入!$B$5:$B$24,$A26,数据录入!$D$5:$D$24)</f>
        <v/>
      </c>
      <c r="D26" s="48">
        <f>SUMIF(数据录入!$B$5:$B$24,$A26,数据录入!$E$5:$E$24)</f>
        <v/>
      </c>
      <c r="E26" s="48">
        <f>SUMIF(数据录入!$B$5:$B$24,$A26,数据录入!$F$5:$F$24)</f>
        <v/>
      </c>
      <c r="F26" s="48">
        <f>SUMIF(数据录入!$B$5:$B$24,$A26,数据录入!$G$5:$G$24)</f>
        <v/>
      </c>
      <c r="G26" s="48">
        <f>SUMIF(数据录入!$B$5:$B$24,$A26,数据录入!$H$5:$H$24)</f>
        <v/>
      </c>
      <c r="H26" s="48">
        <f>SUMIF(数据录入!$B$5:$B$24,$A26,数据录入!$I$5:$I$24)</f>
        <v/>
      </c>
      <c r="I26" s="49">
        <f>IFERROR(E26/C26,"")</f>
        <v/>
      </c>
      <c r="J26" s="49">
        <f>IFERROR(F26/E26,"")</f>
        <v/>
      </c>
      <c r="K26" s="49">
        <f>IFERROR(G26/E26,"")</f>
        <v/>
      </c>
      <c r="L26" s="49">
        <f>IFERROR(H26/E26,"")</f>
        <v/>
      </c>
    </row>
    <row r="27">
      <c r="A27" s="46" t="inlineStr">
        <is>
          <t>澳洲</t>
        </is>
      </c>
      <c r="B27" s="46">
        <f>SUMIF(数据录入!$B$5:$B$24,$A27,数据录入!$C$5:$C$24)</f>
        <v/>
      </c>
      <c r="C27" s="46">
        <f>SUMIF(数据录入!$B$5:$B$24,$A27,数据录入!$D$5:$D$24)</f>
        <v/>
      </c>
      <c r="D27" s="46">
        <f>SUMIF(数据录入!$B$5:$B$24,$A27,数据录入!$E$5:$E$24)</f>
        <v/>
      </c>
      <c r="E27" s="46">
        <f>SUMIF(数据录入!$B$5:$B$24,$A27,数据录入!$F$5:$F$24)</f>
        <v/>
      </c>
      <c r="F27" s="46">
        <f>SUMIF(数据录入!$B$5:$B$24,$A27,数据录入!$G$5:$G$24)</f>
        <v/>
      </c>
      <c r="G27" s="46">
        <f>SUMIF(数据录入!$B$5:$B$24,$A27,数据录入!$H$5:$H$24)</f>
        <v/>
      </c>
      <c r="H27" s="46">
        <f>SUMIF(数据录入!$B$5:$B$24,$A27,数据录入!$I$5:$I$24)</f>
        <v/>
      </c>
      <c r="I27" s="47">
        <f>IFERROR(E27/C27,"")</f>
        <v/>
      </c>
      <c r="J27" s="47">
        <f>IFERROR(F27/E27,"")</f>
        <v/>
      </c>
      <c r="K27" s="47">
        <f>IFERROR(G27/E27,"")</f>
        <v/>
      </c>
      <c r="L27" s="47">
        <f>IFERROR(H27/E27,"")</f>
        <v/>
      </c>
    </row>
    <row r="30" ht="21" customHeight="1">
      <c r="A30" s="50" t="inlineStr">
        <is>
          <t>漏斗口径与使用建议</t>
        </is>
      </c>
    </row>
    <row r="31" ht="21" customHeight="1">
      <c r="A31" s="51" t="inlineStr">
        <is>
          <t>• 建议按同一自然月或活动周期统计，确保“下载—注册—激活—首购—复购—留存—券核销”之间可比较。
• 留存需明确口径，例如 30 日留存用户数；券核销可填写完成券核销的用户数，或按业务需要改为核销订单数。
• 模板默认汇总多个国家数据；也可以仅在“数据录入”页保留单一市场，即可得到单市场漏斗。
• 当前模板不含真实数据，请在蓝色区域填写；若阶段定义不同，可直接修改阶段名称，但需同步调整看板公式。</t>
        </is>
      </c>
    </row>
    <row r="32" ht="21" customHeight="1"/>
    <row r="33" ht="21" customHeight="1"/>
    <row r="34" ht="21" customHeight="1"/>
  </sheetData>
  <mergeCells count="12">
    <mergeCell ref="E14:H14"/>
    <mergeCell ref="I14:L14"/>
    <mergeCell ref="A31:Q34"/>
    <mergeCell ref="A30:Q30"/>
    <mergeCell ref="M15:Q17"/>
    <mergeCell ref="A2:Q2"/>
    <mergeCell ref="M14:Q14"/>
    <mergeCell ref="A15:D17"/>
    <mergeCell ref="E15:H17"/>
    <mergeCell ref="I15:L17"/>
    <mergeCell ref="A1:Q1"/>
    <mergeCell ref="A14:D14"/>
  </mergeCells>
  <conditionalFormatting sqref="I23:L27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6" customHeight="1">
      <c r="A1" s="52" t="inlineStr">
        <is>
          <t>填写说明｜会员体系增长漏斗图模板</t>
        </is>
      </c>
    </row>
    <row r="3" ht="48" customHeight="1">
      <c r="A3" s="53" t="inlineStr">
        <is>
          <t>1. 填写范围</t>
        </is>
      </c>
      <c r="B3" s="54" t="inlineStr">
        <is>
          <t>在“数据录入”页蓝色区域填写每个国家 / 市场一个统计周期内的漏斗人数。</t>
        </is>
      </c>
      <c r="C3" s="55" t="n"/>
      <c r="D3" s="55" t="n"/>
      <c r="E3" s="55" t="n"/>
      <c r="F3" s="55" t="n"/>
      <c r="G3" s="55" t="n"/>
      <c r="H3" s="55" t="n"/>
    </row>
    <row r="4" ht="48" customHeight="1">
      <c r="A4" s="53" t="inlineStr">
        <is>
          <t>2. 7 个阶段</t>
        </is>
      </c>
      <c r="B4" s="54" t="inlineStr">
        <is>
          <t>APP 下载、注册、激活、首购、复购、留存、券核销。若业务口径不同，可直接修改阶段名称。</t>
        </is>
      </c>
      <c r="C4" s="55" t="n"/>
      <c r="D4" s="55" t="n"/>
      <c r="E4" s="55" t="n"/>
      <c r="F4" s="55" t="n"/>
      <c r="G4" s="55" t="n"/>
      <c r="H4" s="55" t="n"/>
    </row>
    <row r="5" ht="48" customHeight="1">
      <c r="A5" s="53" t="inlineStr">
        <is>
          <t>3. 推荐定义</t>
        </is>
      </c>
      <c r="B5" s="54" t="inlineStr">
        <is>
          <t>激活：完成关键行为的注册用户；首购：完成第一笔付费订单用户；复购：在统计期内至少再次消费一次用户；留存：按 30 日或月留存定义。</t>
        </is>
      </c>
      <c r="C5" s="55" t="n"/>
      <c r="D5" s="55" t="n"/>
      <c r="E5" s="55" t="n"/>
      <c r="F5" s="55" t="n"/>
      <c r="G5" s="55" t="n"/>
      <c r="H5" s="55" t="n"/>
    </row>
    <row r="6" ht="48" customHeight="1">
      <c r="A6" s="53" t="inlineStr">
        <is>
          <t>4. 数据诊断</t>
        </is>
      </c>
      <c r="B6" s="54" t="inlineStr">
        <is>
          <t>优先关注下载→注册、注册→激活、激活→首购、首购→复购的阶段转化率；再用各国对比定位问题市场。</t>
        </is>
      </c>
      <c r="C6" s="55" t="n"/>
      <c r="D6" s="55" t="n"/>
      <c r="E6" s="55" t="n"/>
      <c r="F6" s="55" t="n"/>
      <c r="G6" s="55" t="n"/>
      <c r="H6" s="55" t="n"/>
    </row>
    <row r="7" ht="48" customHeight="1">
      <c r="A7" s="53" t="inlineStr">
        <is>
          <t>5. 汇报用途</t>
        </is>
      </c>
      <c r="B7" s="54" t="inlineStr">
        <is>
          <t>漏斗看板用于展示整体用户增长链路；各市场汇总表用于比较美国、马来西亚等重点市场的转化差异。</t>
        </is>
      </c>
      <c r="C7" s="55" t="n"/>
      <c r="D7" s="55" t="n"/>
      <c r="E7" s="55" t="n"/>
      <c r="F7" s="55" t="n"/>
      <c r="G7" s="55" t="n"/>
      <c r="H7" s="55" t="n"/>
    </row>
    <row r="8" ht="48" customHeight="1">
      <c r="A8" s="53" t="inlineStr">
        <is>
          <t>6. 数据范围</t>
        </is>
      </c>
      <c r="B8" s="54" t="inlineStr">
        <is>
          <t>预置 5 个重点市场与 20 行可扩展空白记录。新增国家时可复制一行，并按需扩展汇总表的市场列表。</t>
        </is>
      </c>
      <c r="C8" s="55" t="n"/>
      <c r="D8" s="55" t="n"/>
      <c r="E8" s="55" t="n"/>
      <c r="F8" s="55" t="n"/>
      <c r="G8" s="55" t="n"/>
      <c r="H8" s="55" t="n"/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2026-07-18T16:46:05Z</dcterms:created>
  <dcterms:modified xsi:type="dcterms:W3CDTF">2026-07-18T16:46:05Z</dcterms:modified>
</cp:coreProperties>
</file>