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录入" sheetId="1" state="visible" r:id="rId1"/>
    <sheet name="图表看板" sheetId="2" state="visible" r:id="rId2"/>
    <sheet name="填写说明" sheetId="3" state="visible" r:id="rId3"/>
  </sheets>
  <definedNames>
    <definedName name="_xlnm._FilterDatabase" localSheetId="0" hidden="1">'数据录入'!$A$4:$J$44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5">
    <font>
      <name val="Calibri"/>
      <family val="2"/>
      <color theme="1"/>
      <sz val="11"/>
      <scheme val="minor"/>
    </font>
    <font>
      <name val="Microsoft YaHei"/>
      <b val="1"/>
      <color rgb="00FFFFFF"/>
      <sz val="20"/>
    </font>
    <font>
      <name val="Microsoft YaHei"/>
      <color rgb="00627D98"/>
      <sz val="10"/>
    </font>
    <font>
      <name val="Microsoft YaHei"/>
      <b val="1"/>
      <color rgb="00FFFFFF"/>
    </font>
    <font>
      <name val="Microsoft YaHei"/>
      <color rgb="001F3A52"/>
      <sz val="10"/>
    </font>
    <font>
      <name val="Microsoft YaHei"/>
      <b val="1"/>
      <color rgb="00FFFFFF"/>
      <sz val="22"/>
    </font>
    <font>
      <name val="Microsoft YaHei"/>
      <b val="1"/>
      <color rgb="00E86D3E"/>
      <sz val="26"/>
    </font>
    <font>
      <name val="Microsoft YaHei"/>
      <b val="1"/>
      <color rgb="003D63D8"/>
      <sz val="26"/>
    </font>
    <font>
      <name val="Microsoft YaHei"/>
      <b val="1"/>
      <color rgb="00159A78"/>
      <sz val="26"/>
    </font>
    <font>
      <name val="Microsoft YaHei"/>
      <b val="1"/>
      <color rgb="007D55C7"/>
      <sz val="26"/>
    </font>
    <font>
      <name val="Microsoft YaHei"/>
      <b val="1"/>
      <color rgb="00627D98"/>
      <sz val="11"/>
    </font>
    <font>
      <name val="Microsoft YaHei"/>
      <sz val="10"/>
    </font>
    <font>
      <name val="Microsoft YaHei"/>
      <b val="1"/>
      <color rgb="00102A43"/>
      <sz val="13"/>
    </font>
    <font>
      <name val="Microsoft YaHei"/>
      <b val="1"/>
      <color rgb="003D63D8"/>
      <sz val="12"/>
    </font>
    <font>
      <name val="Microsoft YaHei"/>
      <color rgb="00324A61"/>
      <sz val="11"/>
    </font>
  </fonts>
  <fills count="17">
    <fill>
      <patternFill/>
    </fill>
    <fill>
      <patternFill patternType="gray125"/>
    </fill>
    <fill>
      <patternFill patternType="solid">
        <fgColor rgb="00102A43"/>
      </patternFill>
    </fill>
    <fill>
      <patternFill patternType="solid">
        <fgColor rgb="00EAF1F8"/>
      </patternFill>
    </fill>
    <fill>
      <patternFill patternType="solid">
        <fgColor rgb="003D63D8"/>
      </patternFill>
    </fill>
    <fill>
      <patternFill patternType="solid">
        <fgColor rgb="00EAF3FF"/>
      </patternFill>
    </fill>
    <fill>
      <patternFill patternType="solid">
        <fgColor rgb="00F4F8FB"/>
      </patternFill>
    </fill>
    <fill>
      <patternFill patternType="solid">
        <fgColor rgb="00FFF8E7"/>
      </patternFill>
    </fill>
    <fill>
      <patternFill patternType="solid">
        <fgColor rgb="00FFF2EC"/>
      </patternFill>
    </fill>
    <fill>
      <patternFill patternType="solid">
        <fgColor rgb="00EEF3FF"/>
      </patternFill>
    </fill>
    <fill>
      <patternFill patternType="solid">
        <fgColor rgb="00EAF9F4"/>
      </patternFill>
    </fill>
    <fill>
      <patternFill patternType="solid">
        <fgColor rgb="00F4F0FF"/>
      </patternFill>
    </fill>
    <fill>
      <patternFill patternType="solid">
        <fgColor rgb="00F7FAFD"/>
      </patternFill>
    </fill>
    <fill>
      <patternFill patternType="solid">
        <fgColor rgb="00E86D3E"/>
      </patternFill>
    </fill>
    <fill>
      <patternFill patternType="solid">
        <fgColor rgb="00FFF9F6"/>
      </patternFill>
    </fill>
    <fill>
      <patternFill patternType="solid">
        <fgColor rgb="00FFF0E9"/>
      </patternFill>
    </fill>
    <fill>
      <patternFill patternType="solid">
        <fgColor rgb="00F9FBFD"/>
      </patternFill>
    </fill>
  </fills>
  <borders count="3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 style="medium">
        <color rgb="00B8C9DA"/>
      </left>
      <right style="medium">
        <color rgb="00B8C9DA"/>
      </right>
      <top style="medium">
        <color rgb="00B8C9DA"/>
      </top>
      <bottom style="medium">
        <color rgb="00B8C9DA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10" fillId="0" borderId="0" applyAlignment="1" pivotButton="0" quotePrefix="0" xfId="0">
      <alignment horizontal="center"/>
    </xf>
    <xf numFmtId="165" fontId="6" fillId="8" borderId="2" applyAlignment="1" pivotButton="0" quotePrefix="0" xfId="0">
      <alignment horizontal="center" vertical="center" wrapText="1"/>
    </xf>
    <xf numFmtId="0" fontId="0" fillId="0" borderId="2" pivotButton="0" quotePrefix="0" xfId="0"/>
    <xf numFmtId="3" fontId="7" fillId="9" borderId="2" applyAlignment="1" pivotButton="0" quotePrefix="0" xfId="0">
      <alignment horizontal="center" vertical="center" wrapText="1"/>
    </xf>
    <xf numFmtId="1" fontId="8" fillId="10" borderId="2" applyAlignment="1" pivotButton="0" quotePrefix="0" xfId="0">
      <alignment horizontal="center" vertical="center" wrapText="1"/>
    </xf>
    <xf numFmtId="164" fontId="9" fillId="11" borderId="2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left"/>
    </xf>
    <xf numFmtId="0" fontId="2" fillId="6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/>
    </xf>
    <xf numFmtId="0" fontId="3" fillId="13" borderId="1" applyAlignment="1" pivotButton="0" quotePrefix="0" xfId="0">
      <alignment horizontal="center"/>
    </xf>
    <xf numFmtId="0" fontId="11" fillId="12" borderId="1" applyAlignment="1" pivotButton="0" quotePrefix="0" xfId="0">
      <alignment horizontal="center"/>
    </xf>
    <xf numFmtId="164" fontId="11" fillId="12" borderId="1" applyAlignment="1" pivotButton="0" quotePrefix="0" xfId="0">
      <alignment horizontal="center"/>
    </xf>
    <xf numFmtId="0" fontId="11" fillId="14" borderId="1" applyAlignment="1" pivotButton="0" quotePrefix="0" xfId="0">
      <alignment horizontal="center"/>
    </xf>
    <xf numFmtId="164" fontId="11" fillId="14" borderId="1" applyAlignment="1" pivotButton="0" quotePrefix="0" xfId="0">
      <alignment horizontal="center"/>
    </xf>
    <xf numFmtId="0" fontId="11" fillId="5" borderId="1" applyAlignment="1" pivotButton="0" quotePrefix="0" xfId="0">
      <alignment horizontal="center"/>
    </xf>
    <xf numFmtId="164" fontId="11" fillId="5" borderId="1" applyAlignment="1" pivotButton="0" quotePrefix="0" xfId="0">
      <alignment horizontal="center"/>
    </xf>
    <xf numFmtId="0" fontId="11" fillId="15" borderId="1" applyAlignment="1" pivotButton="0" quotePrefix="0" xfId="0">
      <alignment horizontal="center"/>
    </xf>
    <xf numFmtId="164" fontId="11" fillId="15" borderId="1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3" fillId="9" borderId="1" applyAlignment="1" pivotButton="0" quotePrefix="0" xfId="0">
      <alignment vertical="top"/>
    </xf>
    <xf numFmtId="0" fontId="14" fillId="16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各国新品销售额对比</a:t>
            </a:r>
          </a:p>
        </rich>
      </tx>
    </title>
    <plotArea>
      <barChart>
        <barDir val="bar"/>
        <grouping val="clustered"/>
        <varyColors val="1"/>
        <ser>
          <idx val="0"/>
          <order val="0"/>
          <tx>
            <strRef>
              <f>'图表看板'!B30</f>
            </strRef>
          </tx>
          <spPr>
            <a:ln>
              <a:prstDash val="solid"/>
            </a:ln>
          </spPr>
          <cat>
            <numRef>
              <f>'图表看板'!$A$31:$A$35</f>
            </numRef>
          </cat>
          <val>
            <numRef>
              <f>'图表看板'!$B$31:$B$35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新品销售额（请统一币种）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国家 / 市场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新品系列：销售额 × 销量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'图表看板'!I30</f>
            </strRef>
          </tx>
          <spPr>
            <a:ln>
              <a:prstDash val="solid"/>
            </a:ln>
          </spPr>
          <cat>
            <numRef>
              <f>'图表看板'!$H$31:$H$38</f>
            </numRef>
          </cat>
          <val>
            <numRef>
              <f>'图表看板'!$I$31:$I$38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'图表看板'!J30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'图表看板'!$J$31:$J$38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新品系列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新品销售额（请统一币种）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新品销量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GitHub Copilot</author>
  </authors>
  <commentList>
    <comment ref="D5" authorId="0" shapeId="0">
      <text>
        <t>填写新品销售额。建议在所有市场使用同一币种，例如 USD。</t>
      </text>
    </comment>
    <comment ref="E5" authorId="0" shapeId="0">
      <text>
        <t>填写新品销量，例如杯数、份数或件数。请在汇报页注明统计口径。</t>
      </text>
    </comment>
    <comment ref="F5" authorId="0" shapeId="0">
      <text>
        <t>填写新品销售额占该市场同期总销售额的比例（可选）。</t>
      </text>
    </comment>
    <comment ref="G5" authorId="0" shapeId="0">
      <text>
        <t>填写目标新品销售额（可选），以便自动计算达成率。</t>
      </text>
    </comment>
    <comment ref="D6" authorId="0" shapeId="0">
      <text>
        <t>填写新品销售额。建议在所有市场使用同一币种，例如 USD。</t>
      </text>
    </comment>
    <comment ref="E6" authorId="0" shapeId="0">
      <text>
        <t>填写新品销量，例如杯数、份数或件数。请在汇报页注明统计口径。</t>
      </text>
    </comment>
    <comment ref="F6" authorId="0" shapeId="0">
      <text>
        <t>填写新品销售额占该市场同期总销售额的比例（可选）。</t>
      </text>
    </comment>
    <comment ref="G6" authorId="0" shapeId="0">
      <text>
        <t>填写目标新品销售额（可选），以便自动计算达成率。</t>
      </text>
    </comment>
    <comment ref="D7" authorId="0" shapeId="0">
      <text>
        <t>填写新品销售额。建议在所有市场使用同一币种，例如 USD。</t>
      </text>
    </comment>
    <comment ref="E7" authorId="0" shapeId="0">
      <text>
        <t>填写新品销量，例如杯数、份数或件数。请在汇报页注明统计口径。</t>
      </text>
    </comment>
    <comment ref="F7" authorId="0" shapeId="0">
      <text>
        <t>填写新品销售额占该市场同期总销售额的比例（可选）。</t>
      </text>
    </comment>
    <comment ref="G7" authorId="0" shapeId="0">
      <text>
        <t>填写目标新品销售额（可选），以便自动计算达成率。</t>
      </text>
    </comment>
    <comment ref="D8" authorId="0" shapeId="0">
      <text>
        <t>填写新品销售额。建议在所有市场使用同一币种，例如 USD。</t>
      </text>
    </comment>
    <comment ref="E8" authorId="0" shapeId="0">
      <text>
        <t>填写新品销量，例如杯数、份数或件数。请在汇报页注明统计口径。</t>
      </text>
    </comment>
    <comment ref="F8" authorId="0" shapeId="0">
      <text>
        <t>填写新品销售额占该市场同期总销售额的比例（可选）。</t>
      </text>
    </comment>
    <comment ref="G8" authorId="0" shapeId="0">
      <text>
        <t>填写目标新品销售额（可选），以便自动计算达成率。</t>
      </text>
    </comment>
    <comment ref="D9" authorId="0" shapeId="0">
      <text>
        <t>填写新品销售额。建议在所有市场使用同一币种，例如 USD。</t>
      </text>
    </comment>
    <comment ref="E9" authorId="0" shapeId="0">
      <text>
        <t>填写新品销量，例如杯数、份数或件数。请在汇报页注明统计口径。</t>
      </text>
    </comment>
    <comment ref="F9" authorId="0" shapeId="0">
      <text>
        <t>填写新品销售额占该市场同期总销售额的比例（可选）。</t>
      </text>
    </comment>
    <comment ref="G9" authorId="0" shapeId="0">
      <text>
        <t>填写目标新品销售额（可选），以便自动计算达成率。</t>
      </text>
    </comment>
    <comment ref="D10" authorId="0" shapeId="0">
      <text>
        <t>填写新品销售额。建议在所有市场使用同一币种，例如 USD。</t>
      </text>
    </comment>
    <comment ref="E10" authorId="0" shapeId="0">
      <text>
        <t>填写新品销量，例如杯数、份数或件数。请在汇报页注明统计口径。</t>
      </text>
    </comment>
    <comment ref="F10" authorId="0" shapeId="0">
      <text>
        <t>填写新品销售额占该市场同期总销售额的比例（可选）。</t>
      </text>
    </comment>
    <comment ref="G10" authorId="0" shapeId="0">
      <text>
        <t>填写目标新品销售额（可选），以便自动计算达成率。</t>
      </text>
    </comment>
    <comment ref="D11" authorId="0" shapeId="0">
      <text>
        <t>填写新品销售额。建议在所有市场使用同一币种，例如 USD。</t>
      </text>
    </comment>
    <comment ref="E11" authorId="0" shapeId="0">
      <text>
        <t>填写新品销量，例如杯数、份数或件数。请在汇报页注明统计口径。</t>
      </text>
    </comment>
    <comment ref="F11" authorId="0" shapeId="0">
      <text>
        <t>填写新品销售额占该市场同期总销售额的比例（可选）。</t>
      </text>
    </comment>
    <comment ref="G11" authorId="0" shapeId="0">
      <text>
        <t>填写目标新品销售额（可选），以便自动计算达成率。</t>
      </text>
    </comment>
    <comment ref="D12" authorId="0" shapeId="0">
      <text>
        <t>填写新品销售额。建议在所有市场使用同一币种，例如 USD。</t>
      </text>
    </comment>
    <comment ref="E12" authorId="0" shapeId="0">
      <text>
        <t>填写新品销量，例如杯数、份数或件数。请在汇报页注明统计口径。</t>
      </text>
    </comment>
    <comment ref="F12" authorId="0" shapeId="0">
      <text>
        <t>填写新品销售额占该市场同期总销售额的比例（可选）。</t>
      </text>
    </comment>
    <comment ref="G12" authorId="0" shapeId="0">
      <text>
        <t>填写目标新品销售额（可选），以便自动计算达成率。</t>
      </text>
    </comment>
    <comment ref="D13" authorId="0" shapeId="0">
      <text>
        <t>填写新品销售额。建议在所有市场使用同一币种，例如 USD。</t>
      </text>
    </comment>
    <comment ref="E13" authorId="0" shapeId="0">
      <text>
        <t>填写新品销量，例如杯数、份数或件数。请在汇报页注明统计口径。</t>
      </text>
    </comment>
    <comment ref="F13" authorId="0" shapeId="0">
      <text>
        <t>填写新品销售额占该市场同期总销售额的比例（可选）。</t>
      </text>
    </comment>
    <comment ref="G13" authorId="0" shapeId="0">
      <text>
        <t>填写目标新品销售额（可选），以便自动计算达成率。</t>
      </text>
    </comment>
    <comment ref="D14" authorId="0" shapeId="0">
      <text>
        <t>填写新品销售额。建议在所有市场使用同一币种，例如 USD。</t>
      </text>
    </comment>
    <comment ref="E14" authorId="0" shapeId="0">
      <text>
        <t>填写新品销量，例如杯数、份数或件数。请在汇报页注明统计口径。</t>
      </text>
    </comment>
    <comment ref="F14" authorId="0" shapeId="0">
      <text>
        <t>填写新品销售额占该市场同期总销售额的比例（可选）。</t>
      </text>
    </comment>
    <comment ref="G14" authorId="0" shapeId="0">
      <text>
        <t>填写目标新品销售额（可选），以便自动计算达成率。</t>
      </text>
    </comment>
    <comment ref="D15" authorId="0" shapeId="0">
      <text>
        <t>填写新品销售额。建议在所有市场使用同一币种，例如 USD。</t>
      </text>
    </comment>
    <comment ref="E15" authorId="0" shapeId="0">
      <text>
        <t>填写新品销量，例如杯数、份数或件数。请在汇报页注明统计口径。</t>
      </text>
    </comment>
    <comment ref="F15" authorId="0" shapeId="0">
      <text>
        <t>填写新品销售额占该市场同期总销售额的比例（可选）。</t>
      </text>
    </comment>
    <comment ref="G15" authorId="0" shapeId="0">
      <text>
        <t>填写目标新品销售额（可选），以便自动计算达成率。</t>
      </text>
    </comment>
    <comment ref="D16" authorId="0" shapeId="0">
      <text>
        <t>填写新品销售额。建议在所有市场使用同一币种，例如 USD。</t>
      </text>
    </comment>
    <comment ref="E16" authorId="0" shapeId="0">
      <text>
        <t>填写新品销量，例如杯数、份数或件数。请在汇报页注明统计口径。</t>
      </text>
    </comment>
    <comment ref="F16" authorId="0" shapeId="0">
      <text>
        <t>填写新品销售额占该市场同期总销售额的比例（可选）。</t>
      </text>
    </comment>
    <comment ref="G16" authorId="0" shapeId="0">
      <text>
        <t>填写目标新品销售额（可选），以便自动计算达成率。</t>
      </text>
    </comment>
    <comment ref="D17" authorId="0" shapeId="0">
      <text>
        <t>填写新品销售额。建议在所有市场使用同一币种，例如 USD。</t>
      </text>
    </comment>
    <comment ref="E17" authorId="0" shapeId="0">
      <text>
        <t>填写新品销量，例如杯数、份数或件数。请在汇报页注明统计口径。</t>
      </text>
    </comment>
    <comment ref="F17" authorId="0" shapeId="0">
      <text>
        <t>填写新品销售额占该市场同期总销售额的比例（可选）。</t>
      </text>
    </comment>
    <comment ref="G17" authorId="0" shapeId="0">
      <text>
        <t>填写目标新品销售额（可选），以便自动计算达成率。</t>
      </text>
    </comment>
    <comment ref="D18" authorId="0" shapeId="0">
      <text>
        <t>填写新品销售额。建议在所有市场使用同一币种，例如 USD。</t>
      </text>
    </comment>
    <comment ref="E18" authorId="0" shapeId="0">
      <text>
        <t>填写新品销量，例如杯数、份数或件数。请在汇报页注明统计口径。</t>
      </text>
    </comment>
    <comment ref="F18" authorId="0" shapeId="0">
      <text>
        <t>填写新品销售额占该市场同期总销售额的比例（可选）。</t>
      </text>
    </comment>
    <comment ref="G18" authorId="0" shapeId="0">
      <text>
        <t>填写目标新品销售额（可选），以便自动计算达成率。</t>
      </text>
    </comment>
    <comment ref="D19" authorId="0" shapeId="0">
      <text>
        <t>填写新品销售额。建议在所有市场使用同一币种，例如 USD。</t>
      </text>
    </comment>
    <comment ref="E19" authorId="0" shapeId="0">
      <text>
        <t>填写新品销量，例如杯数、份数或件数。请在汇报页注明统计口径。</t>
      </text>
    </comment>
    <comment ref="F19" authorId="0" shapeId="0">
      <text>
        <t>填写新品销售额占该市场同期总销售额的比例（可选）。</t>
      </text>
    </comment>
    <comment ref="G19" authorId="0" shapeId="0">
      <text>
        <t>填写目标新品销售额（可选），以便自动计算达成率。</t>
      </text>
    </comment>
    <comment ref="D20" authorId="0" shapeId="0">
      <text>
        <t>填写新品销售额。建议在所有市场使用同一币种，例如 USD。</t>
      </text>
    </comment>
    <comment ref="E20" authorId="0" shapeId="0">
      <text>
        <t>填写新品销量，例如杯数、份数或件数。请在汇报页注明统计口径。</t>
      </text>
    </comment>
    <comment ref="F20" authorId="0" shapeId="0">
      <text>
        <t>填写新品销售额占该市场同期总销售额的比例（可选）。</t>
      </text>
    </comment>
    <comment ref="G20" authorId="0" shapeId="0">
      <text>
        <t>填写目标新品销售额（可选），以便自动计算达成率。</t>
      </text>
    </comment>
    <comment ref="D21" authorId="0" shapeId="0">
      <text>
        <t>填写新品销售额。建议在所有市场使用同一币种，例如 USD。</t>
      </text>
    </comment>
    <comment ref="E21" authorId="0" shapeId="0">
      <text>
        <t>填写新品销量，例如杯数、份数或件数。请在汇报页注明统计口径。</t>
      </text>
    </comment>
    <comment ref="F21" authorId="0" shapeId="0">
      <text>
        <t>填写新品销售额占该市场同期总销售额的比例（可选）。</t>
      </text>
    </comment>
    <comment ref="G21" authorId="0" shapeId="0">
      <text>
        <t>填写目标新品销售额（可选），以便自动计算达成率。</t>
      </text>
    </comment>
    <comment ref="D22" authorId="0" shapeId="0">
      <text>
        <t>填写新品销售额。建议在所有市场使用同一币种，例如 USD。</t>
      </text>
    </comment>
    <comment ref="E22" authorId="0" shapeId="0">
      <text>
        <t>填写新品销量，例如杯数、份数或件数。请在汇报页注明统计口径。</t>
      </text>
    </comment>
    <comment ref="F22" authorId="0" shapeId="0">
      <text>
        <t>填写新品销售额占该市场同期总销售额的比例（可选）。</t>
      </text>
    </comment>
    <comment ref="G22" authorId="0" shapeId="0">
      <text>
        <t>填写目标新品销售额（可选），以便自动计算达成率。</t>
      </text>
    </comment>
    <comment ref="D23" authorId="0" shapeId="0">
      <text>
        <t>填写新品销售额。建议在所有市场使用同一币种，例如 USD。</t>
      </text>
    </comment>
    <comment ref="E23" authorId="0" shapeId="0">
      <text>
        <t>填写新品销量，例如杯数、份数或件数。请在汇报页注明统计口径。</t>
      </text>
    </comment>
    <comment ref="F23" authorId="0" shapeId="0">
      <text>
        <t>填写新品销售额占该市场同期总销售额的比例（可选）。</t>
      </text>
    </comment>
    <comment ref="G23" authorId="0" shapeId="0">
      <text>
        <t>填写目标新品销售额（可选），以便自动计算达成率。</t>
      </text>
    </comment>
    <comment ref="D24" authorId="0" shapeId="0">
      <text>
        <t>填写新品销售额。建议在所有市场使用同一币种，例如 USD。</t>
      </text>
    </comment>
    <comment ref="E24" authorId="0" shapeId="0">
      <text>
        <t>填写新品销量，例如杯数、份数或件数。请在汇报页注明统计口径。</t>
      </text>
    </comment>
    <comment ref="F24" authorId="0" shapeId="0">
      <text>
        <t>填写新品销售额占该市场同期总销售额的比例（可选）。</t>
      </text>
    </comment>
    <comment ref="G24" authorId="0" shapeId="0">
      <text>
        <t>填写目标新品销售额（可选），以便自动计算达成率。</t>
      </text>
    </comment>
    <comment ref="D25" authorId="0" shapeId="0">
      <text>
        <t>填写新品销售额。建议在所有市场使用同一币种，例如 USD。</t>
      </text>
    </comment>
    <comment ref="E25" authorId="0" shapeId="0">
      <text>
        <t>填写新品销量，例如杯数、份数或件数。请在汇报页注明统计口径。</t>
      </text>
    </comment>
    <comment ref="F25" authorId="0" shapeId="0">
      <text>
        <t>填写新品销售额占该市场同期总销售额的比例（可选）。</t>
      </text>
    </comment>
    <comment ref="G25" authorId="0" shapeId="0">
      <text>
        <t>填写目标新品销售额（可选），以便自动计算达成率。</t>
      </text>
    </comment>
    <comment ref="D26" authorId="0" shapeId="0">
      <text>
        <t>填写新品销售额。建议在所有市场使用同一币种，例如 USD。</t>
      </text>
    </comment>
    <comment ref="E26" authorId="0" shapeId="0">
      <text>
        <t>填写新品销量，例如杯数、份数或件数。请在汇报页注明统计口径。</t>
      </text>
    </comment>
    <comment ref="F26" authorId="0" shapeId="0">
      <text>
        <t>填写新品销售额占该市场同期总销售额的比例（可选）。</t>
      </text>
    </comment>
    <comment ref="G26" authorId="0" shapeId="0">
      <text>
        <t>填写目标新品销售额（可选），以便自动计算达成率。</t>
      </text>
    </comment>
    <comment ref="D27" authorId="0" shapeId="0">
      <text>
        <t>填写新品销售额。建议在所有市场使用同一币种，例如 USD。</t>
      </text>
    </comment>
    <comment ref="E27" authorId="0" shapeId="0">
      <text>
        <t>填写新品销量，例如杯数、份数或件数。请在汇报页注明统计口径。</t>
      </text>
    </comment>
    <comment ref="F27" authorId="0" shapeId="0">
      <text>
        <t>填写新品销售额占该市场同期总销售额的比例（可选）。</t>
      </text>
    </comment>
    <comment ref="G27" authorId="0" shapeId="0">
      <text>
        <t>填写目标新品销售额（可选），以便自动计算达成率。</t>
      </text>
    </comment>
    <comment ref="D28" authorId="0" shapeId="0">
      <text>
        <t>填写新品销售额。建议在所有市场使用同一币种，例如 USD。</t>
      </text>
    </comment>
    <comment ref="E28" authorId="0" shapeId="0">
      <text>
        <t>填写新品销量，例如杯数、份数或件数。请在汇报页注明统计口径。</t>
      </text>
    </comment>
    <comment ref="F28" authorId="0" shapeId="0">
      <text>
        <t>填写新品销售额占该市场同期总销售额的比例（可选）。</t>
      </text>
    </comment>
    <comment ref="G28" authorId="0" shapeId="0">
      <text>
        <t>填写目标新品销售额（可选），以便自动计算达成率。</t>
      </text>
    </comment>
    <comment ref="D29" authorId="0" shapeId="0">
      <text>
        <t>填写新品销售额。建议在所有市场使用同一币种，例如 USD。</t>
      </text>
    </comment>
    <comment ref="E29" authorId="0" shapeId="0">
      <text>
        <t>填写新品销量，例如杯数、份数或件数。请在汇报页注明统计口径。</t>
      </text>
    </comment>
    <comment ref="F29" authorId="0" shapeId="0">
      <text>
        <t>填写新品销售额占该市场同期总销售额的比例（可选）。</t>
      </text>
    </comment>
    <comment ref="G29" authorId="0" shapeId="0">
      <text>
        <t>填写目标新品销售额（可选），以便自动计算达成率。</t>
      </text>
    </comment>
    <comment ref="D30" authorId="0" shapeId="0">
      <text>
        <t>填写新品销售额。建议在所有市场使用同一币种，例如 USD。</t>
      </text>
    </comment>
    <comment ref="E30" authorId="0" shapeId="0">
      <text>
        <t>填写新品销量，例如杯数、份数或件数。请在汇报页注明统计口径。</t>
      </text>
    </comment>
    <comment ref="F30" authorId="0" shapeId="0">
      <text>
        <t>填写新品销售额占该市场同期总销售额的比例（可选）。</t>
      </text>
    </comment>
    <comment ref="G30" authorId="0" shapeId="0">
      <text>
        <t>填写目标新品销售额（可选），以便自动计算达成率。</t>
      </text>
    </comment>
    <comment ref="D31" authorId="0" shapeId="0">
      <text>
        <t>填写新品销售额。建议在所有市场使用同一币种，例如 USD。</t>
      </text>
    </comment>
    <comment ref="E31" authorId="0" shapeId="0">
      <text>
        <t>填写新品销量，例如杯数、份数或件数。请在汇报页注明统计口径。</t>
      </text>
    </comment>
    <comment ref="F31" authorId="0" shapeId="0">
      <text>
        <t>填写新品销售额占该市场同期总销售额的比例（可选）。</t>
      </text>
    </comment>
    <comment ref="G31" authorId="0" shapeId="0">
      <text>
        <t>填写目标新品销售额（可选），以便自动计算达成率。</t>
      </text>
    </comment>
    <comment ref="D32" authorId="0" shapeId="0">
      <text>
        <t>填写新品销售额。建议在所有市场使用同一币种，例如 USD。</t>
      </text>
    </comment>
    <comment ref="E32" authorId="0" shapeId="0">
      <text>
        <t>填写新品销量，例如杯数、份数或件数。请在汇报页注明统计口径。</t>
      </text>
    </comment>
    <comment ref="F32" authorId="0" shapeId="0">
      <text>
        <t>填写新品销售额占该市场同期总销售额的比例（可选）。</t>
      </text>
    </comment>
    <comment ref="G32" authorId="0" shapeId="0">
      <text>
        <t>填写目标新品销售额（可选），以便自动计算达成率。</t>
      </text>
    </comment>
    <comment ref="D33" authorId="0" shapeId="0">
      <text>
        <t>填写新品销售额。建议在所有市场使用同一币种，例如 USD。</t>
      </text>
    </comment>
    <comment ref="E33" authorId="0" shapeId="0">
      <text>
        <t>填写新品销量，例如杯数、份数或件数。请在汇报页注明统计口径。</t>
      </text>
    </comment>
    <comment ref="F33" authorId="0" shapeId="0">
      <text>
        <t>填写新品销售额占该市场同期总销售额的比例（可选）。</t>
      </text>
    </comment>
    <comment ref="G33" authorId="0" shapeId="0">
      <text>
        <t>填写目标新品销售额（可选），以便自动计算达成率。</t>
      </text>
    </comment>
    <comment ref="D34" authorId="0" shapeId="0">
      <text>
        <t>填写新品销售额。建议在所有市场使用同一币种，例如 USD。</t>
      </text>
    </comment>
    <comment ref="E34" authorId="0" shapeId="0">
      <text>
        <t>填写新品销量，例如杯数、份数或件数。请在汇报页注明统计口径。</t>
      </text>
    </comment>
    <comment ref="F34" authorId="0" shapeId="0">
      <text>
        <t>填写新品销售额占该市场同期总销售额的比例（可选）。</t>
      </text>
    </comment>
    <comment ref="G34" authorId="0" shapeId="0">
      <text>
        <t>填写目标新品销售额（可选），以便自动计算达成率。</t>
      </text>
    </comment>
    <comment ref="D35" authorId="0" shapeId="0">
      <text>
        <t>填写新品销售额。建议在所有市场使用同一币种，例如 USD。</t>
      </text>
    </comment>
    <comment ref="E35" authorId="0" shapeId="0">
      <text>
        <t>填写新品销量，例如杯数、份数或件数。请在汇报页注明统计口径。</t>
      </text>
    </comment>
    <comment ref="F35" authorId="0" shapeId="0">
      <text>
        <t>填写新品销售额占该市场同期总销售额的比例（可选）。</t>
      </text>
    </comment>
    <comment ref="G35" authorId="0" shapeId="0">
      <text>
        <t>填写目标新品销售额（可选），以便自动计算达成率。</t>
      </text>
    </comment>
    <comment ref="D36" authorId="0" shapeId="0">
      <text>
        <t>填写新品销售额。建议在所有市场使用同一币种，例如 USD。</t>
      </text>
    </comment>
    <comment ref="E36" authorId="0" shapeId="0">
      <text>
        <t>填写新品销量，例如杯数、份数或件数。请在汇报页注明统计口径。</t>
      </text>
    </comment>
    <comment ref="F36" authorId="0" shapeId="0">
      <text>
        <t>填写新品销售额占该市场同期总销售额的比例（可选）。</t>
      </text>
    </comment>
    <comment ref="G36" authorId="0" shapeId="0">
      <text>
        <t>填写目标新品销售额（可选），以便自动计算达成率。</t>
      </text>
    </comment>
    <comment ref="D37" authorId="0" shapeId="0">
      <text>
        <t>填写新品销售额。建议在所有市场使用同一币种，例如 USD。</t>
      </text>
    </comment>
    <comment ref="E37" authorId="0" shapeId="0">
      <text>
        <t>填写新品销量，例如杯数、份数或件数。请在汇报页注明统计口径。</t>
      </text>
    </comment>
    <comment ref="F37" authorId="0" shapeId="0">
      <text>
        <t>填写新品销售额占该市场同期总销售额的比例（可选）。</t>
      </text>
    </comment>
    <comment ref="G37" authorId="0" shapeId="0">
      <text>
        <t>填写目标新品销售额（可选），以便自动计算达成率。</t>
      </text>
    </comment>
    <comment ref="D38" authorId="0" shapeId="0">
      <text>
        <t>填写新品销售额。建议在所有市场使用同一币种，例如 USD。</t>
      </text>
    </comment>
    <comment ref="E38" authorId="0" shapeId="0">
      <text>
        <t>填写新品销量，例如杯数、份数或件数。请在汇报页注明统计口径。</t>
      </text>
    </comment>
    <comment ref="F38" authorId="0" shapeId="0">
      <text>
        <t>填写新品销售额占该市场同期总销售额的比例（可选）。</t>
      </text>
    </comment>
    <comment ref="G38" authorId="0" shapeId="0">
      <text>
        <t>填写目标新品销售额（可选），以便自动计算达成率。</t>
      </text>
    </comment>
    <comment ref="D39" authorId="0" shapeId="0">
      <text>
        <t>填写新品销售额。建议在所有市场使用同一币种，例如 USD。</t>
      </text>
    </comment>
    <comment ref="E39" authorId="0" shapeId="0">
      <text>
        <t>填写新品销量，例如杯数、份数或件数。请在汇报页注明统计口径。</t>
      </text>
    </comment>
    <comment ref="F39" authorId="0" shapeId="0">
      <text>
        <t>填写新品销售额占该市场同期总销售额的比例（可选）。</t>
      </text>
    </comment>
    <comment ref="G39" authorId="0" shapeId="0">
      <text>
        <t>填写目标新品销售额（可选），以便自动计算达成率。</t>
      </text>
    </comment>
    <comment ref="D40" authorId="0" shapeId="0">
      <text>
        <t>填写新品销售额。建议在所有市场使用同一币种，例如 USD。</t>
      </text>
    </comment>
    <comment ref="E40" authorId="0" shapeId="0">
      <text>
        <t>填写新品销量，例如杯数、份数或件数。请在汇报页注明统计口径。</t>
      </text>
    </comment>
    <comment ref="F40" authorId="0" shapeId="0">
      <text>
        <t>填写新品销售额占该市场同期总销售额的比例（可选）。</t>
      </text>
    </comment>
    <comment ref="G40" authorId="0" shapeId="0">
      <text>
        <t>填写目标新品销售额（可选），以便自动计算达成率。</t>
      </text>
    </comment>
    <comment ref="D41" authorId="0" shapeId="0">
      <text>
        <t>填写新品销售额。建议在所有市场使用同一币种，例如 USD。</t>
      </text>
    </comment>
    <comment ref="E41" authorId="0" shapeId="0">
      <text>
        <t>填写新品销量，例如杯数、份数或件数。请在汇报页注明统计口径。</t>
      </text>
    </comment>
    <comment ref="F41" authorId="0" shapeId="0">
      <text>
        <t>填写新品销售额占该市场同期总销售额的比例（可选）。</t>
      </text>
    </comment>
    <comment ref="G41" authorId="0" shapeId="0">
      <text>
        <t>填写目标新品销售额（可选），以便自动计算达成率。</t>
      </text>
    </comment>
    <comment ref="D42" authorId="0" shapeId="0">
      <text>
        <t>填写新品销售额。建议在所有市场使用同一币种，例如 USD。</t>
      </text>
    </comment>
    <comment ref="E42" authorId="0" shapeId="0">
      <text>
        <t>填写新品销量，例如杯数、份数或件数。请在汇报页注明统计口径。</t>
      </text>
    </comment>
    <comment ref="F42" authorId="0" shapeId="0">
      <text>
        <t>填写新品销售额占该市场同期总销售额的比例（可选）。</t>
      </text>
    </comment>
    <comment ref="G42" authorId="0" shapeId="0">
      <text>
        <t>填写目标新品销售额（可选），以便自动计算达成率。</t>
      </text>
    </comment>
    <comment ref="D43" authorId="0" shapeId="0">
      <text>
        <t>填写新品销售额。建议在所有市场使用同一币种，例如 USD。</t>
      </text>
    </comment>
    <comment ref="E43" authorId="0" shapeId="0">
      <text>
        <t>填写新品销量，例如杯数、份数或件数。请在汇报页注明统计口径。</t>
      </text>
    </comment>
    <comment ref="F43" authorId="0" shapeId="0">
      <text>
        <t>填写新品销售额占该市场同期总销售额的比例（可选）。</t>
      </text>
    </comment>
    <comment ref="G43" authorId="0" shapeId="0">
      <text>
        <t>填写目标新品销售额（可选），以便自动计算达成率。</t>
      </text>
    </comment>
    <comment ref="D44" authorId="0" shapeId="0">
      <text>
        <t>填写新品销售额。建议在所有市场使用同一币种，例如 USD。</t>
      </text>
    </comment>
    <comment ref="E44" authorId="0" shapeId="0">
      <text>
        <t>填写新品销量，例如杯数、份数或件数。请在汇报页注明统计口径。</t>
      </text>
    </comment>
    <comment ref="F44" authorId="0" shapeId="0">
      <text>
        <t>填写新品销售额占该市场同期总销售额的比例（可选）。</t>
      </text>
    </comment>
    <comment ref="G44" authorId="0" shapeId="0">
      <text>
        <t>填写目标新品销售额（可选），以便自动计算达成率。</t>
      </text>
    </comment>
  </commentList>
</comments>
</file>

<file path=xl/comments/comment2.xml><?xml version="1.0" encoding="utf-8"?>
<comments xmlns="http://schemas.openxmlformats.org/spreadsheetml/2006/main">
  <authors>
    <author>GitHub Copilot</author>
  </authors>
  <commentList>
    <comment ref="A4" authorId="0" shapeId="0">
      <text>
        <t>新品销售额</t>
      </text>
    </comment>
    <comment ref="E4" authorId="0" shapeId="0">
      <text>
        <t>新品销量</t>
      </text>
    </comment>
    <comment ref="I4" authorId="0" shapeId="0">
      <text>
        <t>已覆盖市场</t>
      </text>
    </comment>
    <comment ref="M4" authorId="0" shapeId="0">
      <text>
        <t>整体销售额达成率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652000" cy="291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7</row>
      <rowOff>0</rowOff>
    </from>
    <ext cx="5652000" cy="2916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新品销售明细" displayName="新品销售明细" ref="A4:J44" headerRowCount="1">
  <autoFilter ref="A4:J44"/>
  <tableColumns count="10">
    <tableColumn id="1" name="月份"/>
    <tableColumn id="2" name="国家/市场"/>
    <tableColumn id="3" name="产品系列"/>
    <tableColumn id="4" name="新品销售额"/>
    <tableColumn id="5" name="新品销量"/>
    <tableColumn id="6" name="新品销售占比"/>
    <tableColumn id="7" name="目标销售额"/>
    <tableColumn id="8" name="销售额达成率"/>
    <tableColumn id="9" name="备注"/>
    <tableColumn id="10" name="数据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7" customWidth="1" min="3" max="3"/>
    <col width="16" customWidth="1" min="4" max="4"/>
    <col width="14" customWidth="1" min="5" max="5"/>
    <col width="15" customWidth="1" min="6" max="6"/>
    <col width="16" customWidth="1" min="7" max="7"/>
    <col width="15" customWidth="1" min="8" max="8"/>
    <col width="25" customWidth="1" min="9" max="9"/>
    <col width="12" customWidth="1" min="10" max="10"/>
  </cols>
  <sheetData>
    <row r="1" ht="38" customHeight="1">
      <c r="A1" s="1" t="inlineStr">
        <is>
          <t>2026 H1 新品上市｜各国新品销售数据模板</t>
        </is>
      </c>
    </row>
    <row r="2" ht="30" customHeight="1">
      <c r="A2" s="2" t="inlineStr">
        <is>
          <t>使用说明：请直接在下方蓝色数据区填入各国、各产品的实际数据。图表看板会自动更新；“销售额”建议统一填写为同一币种。</t>
        </is>
      </c>
    </row>
    <row r="4" ht="30" customHeight="1">
      <c r="A4" s="3" t="inlineStr">
        <is>
          <t>月份</t>
        </is>
      </c>
      <c r="B4" s="3" t="inlineStr">
        <is>
          <t>国家/市场</t>
        </is>
      </c>
      <c r="C4" s="3" t="inlineStr">
        <is>
          <t>产品系列</t>
        </is>
      </c>
      <c r="D4" s="3" t="inlineStr">
        <is>
          <t>新品销售额</t>
        </is>
      </c>
      <c r="E4" s="3" t="inlineStr">
        <is>
          <t>新品销量</t>
        </is>
      </c>
      <c r="F4" s="3" t="inlineStr">
        <is>
          <t>新品销售占比</t>
        </is>
      </c>
      <c r="G4" s="3" t="inlineStr">
        <is>
          <t>目标销售额</t>
        </is>
      </c>
      <c r="H4" s="3" t="inlineStr">
        <is>
          <t>销售额达成率</t>
        </is>
      </c>
      <c r="I4" s="3" t="inlineStr">
        <is>
          <t>备注</t>
        </is>
      </c>
      <c r="J4" s="3" t="inlineStr">
        <is>
          <t>数据状态</t>
        </is>
      </c>
    </row>
    <row r="5" ht="22" customHeight="1">
      <c r="A5" s="4" t="inlineStr">
        <is>
          <t>1月</t>
        </is>
      </c>
      <c r="B5" s="4" t="inlineStr">
        <is>
          <t>美国</t>
        </is>
      </c>
      <c r="C5" s="4" t="inlineStr">
        <is>
          <t>大红袍系列</t>
        </is>
      </c>
      <c r="D5" s="5" t="n"/>
      <c r="E5" s="5" t="n"/>
      <c r="F5" s="6" t="n"/>
      <c r="G5" s="5" t="n"/>
      <c r="H5" s="7">
        <f>IFERROR(D5/G5,"")</f>
        <v/>
      </c>
      <c r="I5" s="8" t="inlineStr"/>
      <c r="J5" s="9">
        <f>IF(OR(D5&gt;0,E5&gt;0),"已填写","待填写")</f>
        <v/>
      </c>
    </row>
    <row r="6" ht="22" customHeight="1">
      <c r="A6" s="4" t="inlineStr">
        <is>
          <t>1月</t>
        </is>
      </c>
      <c r="B6" s="4" t="inlineStr">
        <is>
          <t>英国</t>
        </is>
      </c>
      <c r="C6" s="4" t="inlineStr">
        <is>
          <t>大红袍系列</t>
        </is>
      </c>
      <c r="D6" s="5" t="n"/>
      <c r="E6" s="5" t="n"/>
      <c r="F6" s="6" t="n"/>
      <c r="G6" s="5" t="n"/>
      <c r="H6" s="7">
        <f>IFERROR(D6/G6,"")</f>
        <v/>
      </c>
      <c r="I6" s="8" t="inlineStr"/>
      <c r="J6" s="9">
        <f>IF(OR(D6&gt;0,E6&gt;0),"已填写","待填写")</f>
        <v/>
      </c>
    </row>
    <row r="7" ht="22" customHeight="1">
      <c r="A7" s="4" t="inlineStr">
        <is>
          <t>1月</t>
        </is>
      </c>
      <c r="B7" s="4" t="inlineStr">
        <is>
          <t>韩国</t>
        </is>
      </c>
      <c r="C7" s="4" t="inlineStr">
        <is>
          <t>大红袍系列</t>
        </is>
      </c>
      <c r="D7" s="5" t="n"/>
      <c r="E7" s="5" t="n"/>
      <c r="F7" s="6" t="n"/>
      <c r="G7" s="5" t="n"/>
      <c r="H7" s="7">
        <f>IFERROR(D7/G7,"")</f>
        <v/>
      </c>
      <c r="I7" s="8" t="inlineStr"/>
      <c r="J7" s="9">
        <f>IF(OR(D7&gt;0,E7&gt;0),"已填写","待填写")</f>
        <v/>
      </c>
    </row>
    <row r="8" ht="22" customHeight="1">
      <c r="A8" s="4" t="inlineStr">
        <is>
          <t>1月</t>
        </is>
      </c>
      <c r="B8" s="4" t="inlineStr">
        <is>
          <t>澳洲</t>
        </is>
      </c>
      <c r="C8" s="4" t="inlineStr">
        <is>
          <t>大红袍系列</t>
        </is>
      </c>
      <c r="D8" s="5" t="n"/>
      <c r="E8" s="5" t="n"/>
      <c r="F8" s="6" t="n"/>
      <c r="G8" s="5" t="n"/>
      <c r="H8" s="7">
        <f>IFERROR(D8/G8,"")</f>
        <v/>
      </c>
      <c r="I8" s="8" t="inlineStr"/>
      <c r="J8" s="9">
        <f>IF(OR(D8&gt;0,E8&gt;0),"已填写","待填写")</f>
        <v/>
      </c>
    </row>
    <row r="9" ht="22" customHeight="1">
      <c r="A9" s="4" t="inlineStr">
        <is>
          <t>1月</t>
        </is>
      </c>
      <c r="B9" s="4" t="inlineStr">
        <is>
          <t>马来西亚</t>
        </is>
      </c>
      <c r="C9" s="4" t="inlineStr">
        <is>
          <t>大红袍系列</t>
        </is>
      </c>
      <c r="D9" s="5" t="n"/>
      <c r="E9" s="5" t="n"/>
      <c r="F9" s="6" t="n"/>
      <c r="G9" s="5" t="n"/>
      <c r="H9" s="7">
        <f>IFERROR(D9/G9,"")</f>
        <v/>
      </c>
      <c r="I9" s="8" t="inlineStr"/>
      <c r="J9" s="9">
        <f>IF(OR(D9&gt;0,E9&gt;0),"已填写","待填写")</f>
        <v/>
      </c>
    </row>
    <row r="10" ht="22" customHeight="1">
      <c r="A10" s="4" t="inlineStr">
        <is>
          <t>2月</t>
        </is>
      </c>
      <c r="B10" s="4" t="inlineStr">
        <is>
          <t>美国</t>
        </is>
      </c>
      <c r="C10" s="4" t="inlineStr">
        <is>
          <t>五黑系列</t>
        </is>
      </c>
      <c r="D10" s="5" t="n"/>
      <c r="E10" s="5" t="n"/>
      <c r="F10" s="6" t="n"/>
      <c r="G10" s="5" t="n"/>
      <c r="H10" s="7">
        <f>IFERROR(D10/G10,"")</f>
        <v/>
      </c>
      <c r="I10" s="8" t="inlineStr"/>
      <c r="J10" s="9">
        <f>IF(OR(D10&gt;0,E10&gt;0),"已填写","待填写")</f>
        <v/>
      </c>
    </row>
    <row r="11" ht="22" customHeight="1">
      <c r="A11" s="4" t="inlineStr">
        <is>
          <t>2月</t>
        </is>
      </c>
      <c r="B11" s="4" t="inlineStr">
        <is>
          <t>英国</t>
        </is>
      </c>
      <c r="C11" s="4" t="inlineStr">
        <is>
          <t>五黑系列</t>
        </is>
      </c>
      <c r="D11" s="5" t="n"/>
      <c r="E11" s="5" t="n"/>
      <c r="F11" s="6" t="n"/>
      <c r="G11" s="5" t="n"/>
      <c r="H11" s="7">
        <f>IFERROR(D11/G11,"")</f>
        <v/>
      </c>
      <c r="I11" s="8" t="inlineStr"/>
      <c r="J11" s="9">
        <f>IF(OR(D11&gt;0,E11&gt;0),"已填写","待填写")</f>
        <v/>
      </c>
    </row>
    <row r="12" ht="22" customHeight="1">
      <c r="A12" s="4" t="inlineStr">
        <is>
          <t>2月</t>
        </is>
      </c>
      <c r="B12" s="4" t="inlineStr">
        <is>
          <t>韩国</t>
        </is>
      </c>
      <c r="C12" s="4" t="inlineStr">
        <is>
          <t>五黑系列</t>
        </is>
      </c>
      <c r="D12" s="5" t="n"/>
      <c r="E12" s="5" t="n"/>
      <c r="F12" s="6" t="n"/>
      <c r="G12" s="5" t="n"/>
      <c r="H12" s="7">
        <f>IFERROR(D12/G12,"")</f>
        <v/>
      </c>
      <c r="I12" s="8" t="inlineStr"/>
      <c r="J12" s="9">
        <f>IF(OR(D12&gt;0,E12&gt;0),"已填写","待填写")</f>
        <v/>
      </c>
    </row>
    <row r="13" ht="22" customHeight="1">
      <c r="A13" s="4" t="inlineStr">
        <is>
          <t>2月</t>
        </is>
      </c>
      <c r="B13" s="4" t="inlineStr">
        <is>
          <t>澳洲</t>
        </is>
      </c>
      <c r="C13" s="4" t="inlineStr">
        <is>
          <t>五黑系列</t>
        </is>
      </c>
      <c r="D13" s="5" t="n"/>
      <c r="E13" s="5" t="n"/>
      <c r="F13" s="6" t="n"/>
      <c r="G13" s="5" t="n"/>
      <c r="H13" s="7">
        <f>IFERROR(D13/G13,"")</f>
        <v/>
      </c>
      <c r="I13" s="8" t="inlineStr"/>
      <c r="J13" s="9">
        <f>IF(OR(D13&gt;0,E13&gt;0),"已填写","待填写")</f>
        <v/>
      </c>
    </row>
    <row r="14" ht="22" customHeight="1">
      <c r="A14" s="4" t="inlineStr">
        <is>
          <t>2月</t>
        </is>
      </c>
      <c r="B14" s="4" t="inlineStr">
        <is>
          <t>马来西亚</t>
        </is>
      </c>
      <c r="C14" s="4" t="inlineStr">
        <is>
          <t>五黑系列</t>
        </is>
      </c>
      <c r="D14" s="5" t="n"/>
      <c r="E14" s="5" t="n"/>
      <c r="F14" s="6" t="n"/>
      <c r="G14" s="5" t="n"/>
      <c r="H14" s="7">
        <f>IFERROR(D14/G14,"")</f>
        <v/>
      </c>
      <c r="I14" s="8" t="inlineStr"/>
      <c r="J14" s="9">
        <f>IF(OR(D14&gt;0,E14&gt;0),"已填写","待填写")</f>
        <v/>
      </c>
    </row>
    <row r="15" ht="22" customHeight="1">
      <c r="A15" s="4" t="inlineStr">
        <is>
          <t>3月</t>
        </is>
      </c>
      <c r="B15" s="4" t="inlineStr">
        <is>
          <t>美国</t>
        </is>
      </c>
      <c r="C15" s="4" t="inlineStr">
        <is>
          <t>五黄系列</t>
        </is>
      </c>
      <c r="D15" s="5" t="n"/>
      <c r="E15" s="5" t="n"/>
      <c r="F15" s="6" t="n"/>
      <c r="G15" s="5" t="n"/>
      <c r="H15" s="7">
        <f>IFERROR(D15/G15,"")</f>
        <v/>
      </c>
      <c r="I15" s="8" t="inlineStr"/>
      <c r="J15" s="9">
        <f>IF(OR(D15&gt;0,E15&gt;0),"已填写","待填写")</f>
        <v/>
      </c>
    </row>
    <row r="16" ht="22" customHeight="1">
      <c r="A16" s="4" t="inlineStr">
        <is>
          <t>3月</t>
        </is>
      </c>
      <c r="B16" s="4" t="inlineStr">
        <is>
          <t>英国</t>
        </is>
      </c>
      <c r="C16" s="4" t="inlineStr">
        <is>
          <t>五黄系列</t>
        </is>
      </c>
      <c r="D16" s="5" t="n"/>
      <c r="E16" s="5" t="n"/>
      <c r="F16" s="6" t="n"/>
      <c r="G16" s="5" t="n"/>
      <c r="H16" s="7">
        <f>IFERROR(D16/G16,"")</f>
        <v/>
      </c>
      <c r="I16" s="8" t="inlineStr"/>
      <c r="J16" s="9">
        <f>IF(OR(D16&gt;0,E16&gt;0),"已填写","待填写")</f>
        <v/>
      </c>
    </row>
    <row r="17" ht="22" customHeight="1">
      <c r="A17" s="4" t="inlineStr">
        <is>
          <t>3月</t>
        </is>
      </c>
      <c r="B17" s="4" t="inlineStr">
        <is>
          <t>韩国</t>
        </is>
      </c>
      <c r="C17" s="4" t="inlineStr">
        <is>
          <t>五黄系列</t>
        </is>
      </c>
      <c r="D17" s="5" t="n"/>
      <c r="E17" s="5" t="n"/>
      <c r="F17" s="6" t="n"/>
      <c r="G17" s="5" t="n"/>
      <c r="H17" s="7">
        <f>IFERROR(D17/G17,"")</f>
        <v/>
      </c>
      <c r="I17" s="8" t="inlineStr"/>
      <c r="J17" s="9">
        <f>IF(OR(D17&gt;0,E17&gt;0),"已填写","待填写")</f>
        <v/>
      </c>
    </row>
    <row r="18" ht="22" customHeight="1">
      <c r="A18" s="4" t="inlineStr">
        <is>
          <t>3月</t>
        </is>
      </c>
      <c r="B18" s="4" t="inlineStr">
        <is>
          <t>澳洲</t>
        </is>
      </c>
      <c r="C18" s="4" t="inlineStr">
        <is>
          <t>五黄系列</t>
        </is>
      </c>
      <c r="D18" s="5" t="n"/>
      <c r="E18" s="5" t="n"/>
      <c r="F18" s="6" t="n"/>
      <c r="G18" s="5" t="n"/>
      <c r="H18" s="7">
        <f>IFERROR(D18/G18,"")</f>
        <v/>
      </c>
      <c r="I18" s="8" t="inlineStr"/>
      <c r="J18" s="9">
        <f>IF(OR(D18&gt;0,E18&gt;0),"已填写","待填写")</f>
        <v/>
      </c>
    </row>
    <row r="19" ht="22" customHeight="1">
      <c r="A19" s="4" t="inlineStr">
        <is>
          <t>3月</t>
        </is>
      </c>
      <c r="B19" s="4" t="inlineStr">
        <is>
          <t>马来西亚</t>
        </is>
      </c>
      <c r="C19" s="4" t="inlineStr">
        <is>
          <t>五黄系列</t>
        </is>
      </c>
      <c r="D19" s="5" t="n"/>
      <c r="E19" s="5" t="n"/>
      <c r="F19" s="6" t="n"/>
      <c r="G19" s="5" t="n"/>
      <c r="H19" s="7">
        <f>IFERROR(D19/G19,"")</f>
        <v/>
      </c>
      <c r="I19" s="8" t="inlineStr"/>
      <c r="J19" s="9">
        <f>IF(OR(D19&gt;0,E19&gt;0),"已填写","待填写")</f>
        <v/>
      </c>
    </row>
    <row r="20" ht="22" customHeight="1">
      <c r="A20" s="4" t="inlineStr">
        <is>
          <t>3月</t>
        </is>
      </c>
      <c r="B20" s="4" t="inlineStr">
        <is>
          <t>美国</t>
        </is>
      </c>
      <c r="C20" s="4" t="inlineStr">
        <is>
          <t>布蕾系列</t>
        </is>
      </c>
      <c r="D20" s="5" t="n"/>
      <c r="E20" s="5" t="n"/>
      <c r="F20" s="6" t="n"/>
      <c r="G20" s="5" t="n"/>
      <c r="H20" s="7">
        <f>IFERROR(D20/G20,"")</f>
        <v/>
      </c>
      <c r="I20" s="8" t="inlineStr"/>
      <c r="J20" s="9">
        <f>IF(OR(D20&gt;0,E20&gt;0),"已填写","待填写")</f>
        <v/>
      </c>
    </row>
    <row r="21" ht="22" customHeight="1">
      <c r="A21" s="4" t="inlineStr">
        <is>
          <t>3月</t>
        </is>
      </c>
      <c r="B21" s="4" t="inlineStr">
        <is>
          <t>英国</t>
        </is>
      </c>
      <c r="C21" s="4" t="inlineStr">
        <is>
          <t>布蕾系列</t>
        </is>
      </c>
      <c r="D21" s="5" t="n"/>
      <c r="E21" s="5" t="n"/>
      <c r="F21" s="6" t="n"/>
      <c r="G21" s="5" t="n"/>
      <c r="H21" s="7">
        <f>IFERROR(D21/G21,"")</f>
        <v/>
      </c>
      <c r="I21" s="8" t="inlineStr"/>
      <c r="J21" s="9">
        <f>IF(OR(D21&gt;0,E21&gt;0),"已填写","待填写")</f>
        <v/>
      </c>
    </row>
    <row r="22" ht="22" customHeight="1">
      <c r="A22" s="4" t="inlineStr">
        <is>
          <t>3月</t>
        </is>
      </c>
      <c r="B22" s="4" t="inlineStr">
        <is>
          <t>韩国</t>
        </is>
      </c>
      <c r="C22" s="4" t="inlineStr">
        <is>
          <t>布蕾系列</t>
        </is>
      </c>
      <c r="D22" s="5" t="n"/>
      <c r="E22" s="5" t="n"/>
      <c r="F22" s="6" t="n"/>
      <c r="G22" s="5" t="n"/>
      <c r="H22" s="7">
        <f>IFERROR(D22/G22,"")</f>
        <v/>
      </c>
      <c r="I22" s="8" t="inlineStr"/>
      <c r="J22" s="9">
        <f>IF(OR(D22&gt;0,E22&gt;0),"已填写","待填写")</f>
        <v/>
      </c>
    </row>
    <row r="23" ht="22" customHeight="1">
      <c r="A23" s="4" t="inlineStr">
        <is>
          <t>3月</t>
        </is>
      </c>
      <c r="B23" s="4" t="inlineStr">
        <is>
          <t>澳洲</t>
        </is>
      </c>
      <c r="C23" s="4" t="inlineStr">
        <is>
          <t>布蕾系列</t>
        </is>
      </c>
      <c r="D23" s="5" t="n"/>
      <c r="E23" s="5" t="n"/>
      <c r="F23" s="6" t="n"/>
      <c r="G23" s="5" t="n"/>
      <c r="H23" s="7">
        <f>IFERROR(D23/G23,"")</f>
        <v/>
      </c>
      <c r="I23" s="8" t="inlineStr"/>
      <c r="J23" s="9">
        <f>IF(OR(D23&gt;0,E23&gt;0),"已填写","待填写")</f>
        <v/>
      </c>
    </row>
    <row r="24" ht="22" customHeight="1">
      <c r="A24" s="4" t="inlineStr">
        <is>
          <t>3月</t>
        </is>
      </c>
      <c r="B24" s="4" t="inlineStr">
        <is>
          <t>马来西亚</t>
        </is>
      </c>
      <c r="C24" s="4" t="inlineStr">
        <is>
          <t>布蕾系列</t>
        </is>
      </c>
      <c r="D24" s="5" t="n"/>
      <c r="E24" s="5" t="n"/>
      <c r="F24" s="6" t="n"/>
      <c r="G24" s="5" t="n"/>
      <c r="H24" s="7">
        <f>IFERROR(D24/G24,"")</f>
        <v/>
      </c>
      <c r="I24" s="8" t="inlineStr"/>
      <c r="J24" s="9">
        <f>IF(OR(D24&gt;0,E24&gt;0),"已填写","待填写")</f>
        <v/>
      </c>
    </row>
    <row r="25" ht="22" customHeight="1">
      <c r="A25" s="4" t="inlineStr">
        <is>
          <t>4月</t>
        </is>
      </c>
      <c r="B25" s="4" t="inlineStr">
        <is>
          <t>美国</t>
        </is>
      </c>
      <c r="C25" s="4" t="inlineStr">
        <is>
          <t>杏果蔬系列</t>
        </is>
      </c>
      <c r="D25" s="5" t="n"/>
      <c r="E25" s="5" t="n"/>
      <c r="F25" s="6" t="n"/>
      <c r="G25" s="5" t="n"/>
      <c r="H25" s="7">
        <f>IFERROR(D25/G25,"")</f>
        <v/>
      </c>
      <c r="I25" s="8" t="inlineStr"/>
      <c r="J25" s="9">
        <f>IF(OR(D25&gt;0,E25&gt;0),"已填写","待填写")</f>
        <v/>
      </c>
    </row>
    <row r="26" ht="22" customHeight="1">
      <c r="A26" s="4" t="inlineStr">
        <is>
          <t>4月</t>
        </is>
      </c>
      <c r="B26" s="4" t="inlineStr">
        <is>
          <t>英国</t>
        </is>
      </c>
      <c r="C26" s="4" t="inlineStr">
        <is>
          <t>杏果蔬系列</t>
        </is>
      </c>
      <c r="D26" s="5" t="n"/>
      <c r="E26" s="5" t="n"/>
      <c r="F26" s="6" t="n"/>
      <c r="G26" s="5" t="n"/>
      <c r="H26" s="7">
        <f>IFERROR(D26/G26,"")</f>
        <v/>
      </c>
      <c r="I26" s="8" t="inlineStr"/>
      <c r="J26" s="9">
        <f>IF(OR(D26&gt;0,E26&gt;0),"已填写","待填写")</f>
        <v/>
      </c>
    </row>
    <row r="27" ht="22" customHeight="1">
      <c r="A27" s="4" t="inlineStr">
        <is>
          <t>4月</t>
        </is>
      </c>
      <c r="B27" s="4" t="inlineStr">
        <is>
          <t>韩国</t>
        </is>
      </c>
      <c r="C27" s="4" t="inlineStr">
        <is>
          <t>杏果蔬系列</t>
        </is>
      </c>
      <c r="D27" s="5" t="n"/>
      <c r="E27" s="5" t="n"/>
      <c r="F27" s="6" t="n"/>
      <c r="G27" s="5" t="n"/>
      <c r="H27" s="7">
        <f>IFERROR(D27/G27,"")</f>
        <v/>
      </c>
      <c r="I27" s="8" t="inlineStr"/>
      <c r="J27" s="9">
        <f>IF(OR(D27&gt;0,E27&gt;0),"已填写","待填写")</f>
        <v/>
      </c>
    </row>
    <row r="28" ht="22" customHeight="1">
      <c r="A28" s="4" t="inlineStr">
        <is>
          <t>4月</t>
        </is>
      </c>
      <c r="B28" s="4" t="inlineStr">
        <is>
          <t>澳洲</t>
        </is>
      </c>
      <c r="C28" s="4" t="inlineStr">
        <is>
          <t>杏果蔬系列</t>
        </is>
      </c>
      <c r="D28" s="5" t="n"/>
      <c r="E28" s="5" t="n"/>
      <c r="F28" s="6" t="n"/>
      <c r="G28" s="5" t="n"/>
      <c r="H28" s="7">
        <f>IFERROR(D28/G28,"")</f>
        <v/>
      </c>
      <c r="I28" s="8" t="inlineStr"/>
      <c r="J28" s="9">
        <f>IF(OR(D28&gt;0,E28&gt;0),"已填写","待填写")</f>
        <v/>
      </c>
    </row>
    <row r="29" ht="22" customHeight="1">
      <c r="A29" s="4" t="inlineStr">
        <is>
          <t>4月</t>
        </is>
      </c>
      <c r="B29" s="4" t="inlineStr">
        <is>
          <t>马来西亚</t>
        </is>
      </c>
      <c r="C29" s="4" t="inlineStr">
        <is>
          <t>杏果蔬系列</t>
        </is>
      </c>
      <c r="D29" s="5" t="n"/>
      <c r="E29" s="5" t="n"/>
      <c r="F29" s="6" t="n"/>
      <c r="G29" s="5" t="n"/>
      <c r="H29" s="7">
        <f>IFERROR(D29/G29,"")</f>
        <v/>
      </c>
      <c r="I29" s="8" t="inlineStr"/>
      <c r="J29" s="9">
        <f>IF(OR(D29&gt;0,E29&gt;0),"已填写","待填写")</f>
        <v/>
      </c>
    </row>
    <row r="30" ht="22" customHeight="1">
      <c r="A30" s="4" t="inlineStr">
        <is>
          <t>5月</t>
        </is>
      </c>
      <c r="B30" s="4" t="inlineStr">
        <is>
          <t>美国</t>
        </is>
      </c>
      <c r="C30" s="4" t="inlineStr">
        <is>
          <t>抹茶系列</t>
        </is>
      </c>
      <c r="D30" s="5" t="n"/>
      <c r="E30" s="5" t="n"/>
      <c r="F30" s="6" t="n"/>
      <c r="G30" s="5" t="n"/>
      <c r="H30" s="7">
        <f>IFERROR(D30/G30,"")</f>
        <v/>
      </c>
      <c r="I30" s="8" t="inlineStr"/>
      <c r="J30" s="9">
        <f>IF(OR(D30&gt;0,E30&gt;0),"已填写","待填写")</f>
        <v/>
      </c>
    </row>
    <row r="31" ht="22" customHeight="1">
      <c r="A31" s="4" t="inlineStr">
        <is>
          <t>5月</t>
        </is>
      </c>
      <c r="B31" s="4" t="inlineStr">
        <is>
          <t>英国</t>
        </is>
      </c>
      <c r="C31" s="4" t="inlineStr">
        <is>
          <t>抹茶系列</t>
        </is>
      </c>
      <c r="D31" s="5" t="n"/>
      <c r="E31" s="5" t="n"/>
      <c r="F31" s="6" t="n"/>
      <c r="G31" s="5" t="n"/>
      <c r="H31" s="7">
        <f>IFERROR(D31/G31,"")</f>
        <v/>
      </c>
      <c r="I31" s="8" t="inlineStr"/>
      <c r="J31" s="9">
        <f>IF(OR(D31&gt;0,E31&gt;0),"已填写","待填写")</f>
        <v/>
      </c>
    </row>
    <row r="32" ht="22" customHeight="1">
      <c r="A32" s="4" t="inlineStr">
        <is>
          <t>5月</t>
        </is>
      </c>
      <c r="B32" s="4" t="inlineStr">
        <is>
          <t>韩国</t>
        </is>
      </c>
      <c r="C32" s="4" t="inlineStr">
        <is>
          <t>抹茶系列</t>
        </is>
      </c>
      <c r="D32" s="5" t="n"/>
      <c r="E32" s="5" t="n"/>
      <c r="F32" s="6" t="n"/>
      <c r="G32" s="5" t="n"/>
      <c r="H32" s="7">
        <f>IFERROR(D32/G32,"")</f>
        <v/>
      </c>
      <c r="I32" s="8" t="inlineStr"/>
      <c r="J32" s="9">
        <f>IF(OR(D32&gt;0,E32&gt;0),"已填写","待填写")</f>
        <v/>
      </c>
    </row>
    <row r="33" ht="22" customHeight="1">
      <c r="A33" s="4" t="inlineStr">
        <is>
          <t>5月</t>
        </is>
      </c>
      <c r="B33" s="4" t="inlineStr">
        <is>
          <t>澳洲</t>
        </is>
      </c>
      <c r="C33" s="4" t="inlineStr">
        <is>
          <t>抹茶系列</t>
        </is>
      </c>
      <c r="D33" s="5" t="n"/>
      <c r="E33" s="5" t="n"/>
      <c r="F33" s="6" t="n"/>
      <c r="G33" s="5" t="n"/>
      <c r="H33" s="7">
        <f>IFERROR(D33/G33,"")</f>
        <v/>
      </c>
      <c r="I33" s="8" t="inlineStr"/>
      <c r="J33" s="9">
        <f>IF(OR(D33&gt;0,E33&gt;0),"已填写","待填写")</f>
        <v/>
      </c>
    </row>
    <row r="34" ht="22" customHeight="1">
      <c r="A34" s="4" t="inlineStr">
        <is>
          <t>5月</t>
        </is>
      </c>
      <c r="B34" s="4" t="inlineStr">
        <is>
          <t>马来西亚</t>
        </is>
      </c>
      <c r="C34" s="4" t="inlineStr">
        <is>
          <t>抹茶系列</t>
        </is>
      </c>
      <c r="D34" s="5" t="n"/>
      <c r="E34" s="5" t="n"/>
      <c r="F34" s="6" t="n"/>
      <c r="G34" s="5" t="n"/>
      <c r="H34" s="7">
        <f>IFERROR(D34/G34,"")</f>
        <v/>
      </c>
      <c r="I34" s="8" t="inlineStr"/>
      <c r="J34" s="9">
        <f>IF(OR(D34&gt;0,E34&gt;0),"已填写","待填写")</f>
        <v/>
      </c>
    </row>
    <row r="35" ht="22" customHeight="1">
      <c r="A35" s="4" t="inlineStr">
        <is>
          <t>5月</t>
        </is>
      </c>
      <c r="B35" s="4" t="inlineStr">
        <is>
          <t>美国</t>
        </is>
      </c>
      <c r="C35" s="4" t="inlineStr">
        <is>
          <t>龙井系列</t>
        </is>
      </c>
      <c r="D35" s="5" t="n"/>
      <c r="E35" s="5" t="n"/>
      <c r="F35" s="6" t="n"/>
      <c r="G35" s="5" t="n"/>
      <c r="H35" s="7">
        <f>IFERROR(D35/G35,"")</f>
        <v/>
      </c>
      <c r="I35" s="8" t="inlineStr"/>
      <c r="J35" s="9">
        <f>IF(OR(D35&gt;0,E35&gt;0),"已填写","待填写")</f>
        <v/>
      </c>
    </row>
    <row r="36" ht="22" customHeight="1">
      <c r="A36" s="4" t="inlineStr">
        <is>
          <t>5月</t>
        </is>
      </c>
      <c r="B36" s="4" t="inlineStr">
        <is>
          <t>英国</t>
        </is>
      </c>
      <c r="C36" s="4" t="inlineStr">
        <is>
          <t>龙井系列</t>
        </is>
      </c>
      <c r="D36" s="5" t="n"/>
      <c r="E36" s="5" t="n"/>
      <c r="F36" s="6" t="n"/>
      <c r="G36" s="5" t="n"/>
      <c r="H36" s="7">
        <f>IFERROR(D36/G36,"")</f>
        <v/>
      </c>
      <c r="I36" s="8" t="inlineStr"/>
      <c r="J36" s="9">
        <f>IF(OR(D36&gt;0,E36&gt;0),"已填写","待填写")</f>
        <v/>
      </c>
    </row>
    <row r="37" ht="22" customHeight="1">
      <c r="A37" s="4" t="inlineStr">
        <is>
          <t>5月</t>
        </is>
      </c>
      <c r="B37" s="4" t="inlineStr">
        <is>
          <t>韩国</t>
        </is>
      </c>
      <c r="C37" s="4" t="inlineStr">
        <is>
          <t>龙井系列</t>
        </is>
      </c>
      <c r="D37" s="5" t="n"/>
      <c r="E37" s="5" t="n"/>
      <c r="F37" s="6" t="n"/>
      <c r="G37" s="5" t="n"/>
      <c r="H37" s="7">
        <f>IFERROR(D37/G37,"")</f>
        <v/>
      </c>
      <c r="I37" s="8" t="inlineStr"/>
      <c r="J37" s="9">
        <f>IF(OR(D37&gt;0,E37&gt;0),"已填写","待填写")</f>
        <v/>
      </c>
    </row>
    <row r="38" ht="22" customHeight="1">
      <c r="A38" s="4" t="inlineStr">
        <is>
          <t>5月</t>
        </is>
      </c>
      <c r="B38" s="4" t="inlineStr">
        <is>
          <t>澳洲</t>
        </is>
      </c>
      <c r="C38" s="4" t="inlineStr">
        <is>
          <t>龙井系列</t>
        </is>
      </c>
      <c r="D38" s="5" t="n"/>
      <c r="E38" s="5" t="n"/>
      <c r="F38" s="6" t="n"/>
      <c r="G38" s="5" t="n"/>
      <c r="H38" s="7">
        <f>IFERROR(D38/G38,"")</f>
        <v/>
      </c>
      <c r="I38" s="8" t="inlineStr"/>
      <c r="J38" s="9">
        <f>IF(OR(D38&gt;0,E38&gt;0),"已填写","待填写")</f>
        <v/>
      </c>
    </row>
    <row r="39" ht="22" customHeight="1">
      <c r="A39" s="4" t="inlineStr">
        <is>
          <t>5月</t>
        </is>
      </c>
      <c r="B39" s="4" t="inlineStr">
        <is>
          <t>马来西亚</t>
        </is>
      </c>
      <c r="C39" s="4" t="inlineStr">
        <is>
          <t>龙井系列</t>
        </is>
      </c>
      <c r="D39" s="5" t="n"/>
      <c r="E39" s="5" t="n"/>
      <c r="F39" s="6" t="n"/>
      <c r="G39" s="5" t="n"/>
      <c r="H39" s="7">
        <f>IFERROR(D39/G39,"")</f>
        <v/>
      </c>
      <c r="I39" s="8" t="inlineStr"/>
      <c r="J39" s="9">
        <f>IF(OR(D39&gt;0,E39&gt;0),"已填写","待填写")</f>
        <v/>
      </c>
    </row>
    <row r="40" ht="22" customHeight="1">
      <c r="A40" s="4" t="inlineStr">
        <is>
          <t>6月</t>
        </is>
      </c>
      <c r="B40" s="4" t="inlineStr">
        <is>
          <t>美国</t>
        </is>
      </c>
      <c r="C40" s="4" t="inlineStr">
        <is>
          <t>世界杯团餐</t>
        </is>
      </c>
      <c r="D40" s="5" t="n"/>
      <c r="E40" s="5" t="n"/>
      <c r="F40" s="6" t="n"/>
      <c r="G40" s="5" t="n"/>
      <c r="H40" s="7">
        <f>IFERROR(D40/G40,"")</f>
        <v/>
      </c>
      <c r="I40" s="8" t="inlineStr"/>
      <c r="J40" s="9">
        <f>IF(OR(D40&gt;0,E40&gt;0),"已填写","待填写")</f>
        <v/>
      </c>
    </row>
    <row r="41" ht="22" customHeight="1">
      <c r="A41" s="4" t="inlineStr">
        <is>
          <t>6月</t>
        </is>
      </c>
      <c r="B41" s="4" t="inlineStr">
        <is>
          <t>英国</t>
        </is>
      </c>
      <c r="C41" s="4" t="inlineStr">
        <is>
          <t>世界杯团餐</t>
        </is>
      </c>
      <c r="D41" s="5" t="n"/>
      <c r="E41" s="5" t="n"/>
      <c r="F41" s="6" t="n"/>
      <c r="G41" s="5" t="n"/>
      <c r="H41" s="7">
        <f>IFERROR(D41/G41,"")</f>
        <v/>
      </c>
      <c r="I41" s="8" t="inlineStr"/>
      <c r="J41" s="9">
        <f>IF(OR(D41&gt;0,E41&gt;0),"已填写","待填写")</f>
        <v/>
      </c>
    </row>
    <row r="42" ht="22" customHeight="1">
      <c r="A42" s="4" t="inlineStr">
        <is>
          <t>6月</t>
        </is>
      </c>
      <c r="B42" s="4" t="inlineStr">
        <is>
          <t>韩国</t>
        </is>
      </c>
      <c r="C42" s="4" t="inlineStr">
        <is>
          <t>世界杯团餐</t>
        </is>
      </c>
      <c r="D42" s="5" t="n"/>
      <c r="E42" s="5" t="n"/>
      <c r="F42" s="6" t="n"/>
      <c r="G42" s="5" t="n"/>
      <c r="H42" s="7">
        <f>IFERROR(D42/G42,"")</f>
        <v/>
      </c>
      <c r="I42" s="8" t="inlineStr"/>
      <c r="J42" s="9">
        <f>IF(OR(D42&gt;0,E42&gt;0),"已填写","待填写")</f>
        <v/>
      </c>
    </row>
    <row r="43" ht="22" customHeight="1">
      <c r="A43" s="4" t="inlineStr">
        <is>
          <t>6月</t>
        </is>
      </c>
      <c r="B43" s="4" t="inlineStr">
        <is>
          <t>澳洲</t>
        </is>
      </c>
      <c r="C43" s="4" t="inlineStr">
        <is>
          <t>世界杯团餐</t>
        </is>
      </c>
      <c r="D43" s="5" t="n"/>
      <c r="E43" s="5" t="n"/>
      <c r="F43" s="6" t="n"/>
      <c r="G43" s="5" t="n"/>
      <c r="H43" s="7">
        <f>IFERROR(D43/G43,"")</f>
        <v/>
      </c>
      <c r="I43" s="8" t="inlineStr"/>
      <c r="J43" s="9">
        <f>IF(OR(D43&gt;0,E43&gt;0),"已填写","待填写")</f>
        <v/>
      </c>
    </row>
    <row r="44" ht="22" customHeight="1">
      <c r="A44" s="4" t="inlineStr">
        <is>
          <t>6月</t>
        </is>
      </c>
      <c r="B44" s="4" t="inlineStr">
        <is>
          <t>马来西亚</t>
        </is>
      </c>
      <c r="C44" s="4" t="inlineStr">
        <is>
          <t>世界杯团餐</t>
        </is>
      </c>
      <c r="D44" s="5" t="n"/>
      <c r="E44" s="5" t="n"/>
      <c r="F44" s="6" t="n"/>
      <c r="G44" s="5" t="n"/>
      <c r="H44" s="7">
        <f>IFERROR(D44/G44,"")</f>
        <v/>
      </c>
      <c r="I44" s="8" t="inlineStr"/>
      <c r="J44" s="9">
        <f>IF(OR(D44&gt;0,E44&gt;0),"已填写","待填写")</f>
        <v/>
      </c>
    </row>
  </sheetData>
  <autoFilter ref="A4:J44"/>
  <mergeCells count="2">
    <mergeCell ref="A1:J1"/>
    <mergeCell ref="A2:J2"/>
  </mergeCells>
  <conditionalFormatting sqref="H5:H44">
    <cfRule type="colorScale" priority="1">
      <colorScale>
        <cfvo type="min"/>
        <cfvo type="percentile" val="50"/>
        <cfvo type="max"/>
        <color rgb="00FEE2E2"/>
        <color rgb="00FEF3C7"/>
        <color rgb="00DCFCE7"/>
      </colorScale>
    </cfRule>
  </conditionalFormatting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38"/>
  <sheetViews>
    <sheetView showGridLines="0" zoomScale="80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9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42" customHeight="1">
      <c r="A1" s="10" t="inlineStr">
        <is>
          <t>新品上市销售表现｜可编辑图表看板</t>
        </is>
      </c>
    </row>
    <row r="2" ht="25" customHeight="1">
      <c r="A2" s="11" t="inlineStr">
        <is>
          <t>图表自动读取“数据录入”页；填入新品销售额、销量、目标销售额等数据后，可直接复制图表至述职或 PPT。</t>
        </is>
      </c>
    </row>
    <row r="3" ht="24" customHeight="1">
      <c r="A3" s="12" t="inlineStr">
        <is>
          <t>新品销售额</t>
        </is>
      </c>
      <c r="E3" s="12" t="inlineStr">
        <is>
          <t>新品销量</t>
        </is>
      </c>
      <c r="I3" s="12" t="inlineStr">
        <is>
          <t>已覆盖市场</t>
        </is>
      </c>
      <c r="M3" s="12" t="inlineStr">
        <is>
          <t>整体销售额达成率</t>
        </is>
      </c>
    </row>
    <row r="4" ht="24" customHeight="1">
      <c r="A4" s="13">
        <f>SUM(数据录入!D5:D44)</f>
        <v/>
      </c>
      <c r="B4" s="14" t="n"/>
      <c r="C4" s="14" t="n"/>
      <c r="D4" s="14" t="n"/>
      <c r="E4" s="15">
        <f>SUM(数据录入!E5:E44)</f>
        <v/>
      </c>
      <c r="F4" s="14" t="n"/>
      <c r="G4" s="14" t="n"/>
      <c r="H4" s="14" t="n"/>
      <c r="I4" s="16">
        <f>COUNTA(UNIQUE(FILTER(数据录入!B5:B44,数据录入!D5:D44&gt;0)))</f>
        <v/>
      </c>
      <c r="J4" s="14" t="n"/>
      <c r="K4" s="14" t="n"/>
      <c r="L4" s="14" t="n"/>
      <c r="M4" s="17">
        <f>IFERROR(SUM(数据录入!D5:D44)/SUM(数据录入!G5:G44),"")</f>
        <v/>
      </c>
      <c r="N4" s="14" t="n"/>
      <c r="O4" s="14" t="n"/>
      <c r="P4" s="14" t="n"/>
      <c r="Q4" s="14" t="n"/>
    </row>
    <row r="5" ht="24" customHeight="1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</row>
    <row r="6" ht="24" customHeight="1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</row>
    <row r="20" ht="22" customHeight="1">
      <c r="A20" s="18" t="inlineStr">
        <is>
          <t>汇报口径建议</t>
        </is>
      </c>
    </row>
    <row r="21" ht="22" customHeight="1">
      <c r="A21" s="19" t="inlineStr">
        <is>
          <t>• 图表一用于呈现各国新品销售额贡献；适合回答“哪个市场新品销售贡献最高？”
• 图表二用于比较产品系列的销售额与销量；适合回答“哪个产品是销售额 / 销量双高的重点新品？”
• 若需要新增“新品销售占比、达成率、环比增长”等维度，可在数据录入页增加列，再新增相应汇总公式与图表系列。
• 当前模板未内置任何实际销售数据，蓝色区域均为待填写数据。</t>
        </is>
      </c>
    </row>
    <row r="22" ht="22" customHeight="1"/>
    <row r="23" ht="22" customHeight="1"/>
    <row r="24" ht="22" customHeight="1"/>
    <row r="30">
      <c r="A30" s="20" t="inlineStr">
        <is>
          <t>国家/市场</t>
        </is>
      </c>
      <c r="B30" s="20" t="inlineStr">
        <is>
          <t>新品销售额</t>
        </is>
      </c>
      <c r="C30" s="20" t="inlineStr">
        <is>
          <t>新品销量</t>
        </is>
      </c>
      <c r="D30" s="20" t="inlineStr">
        <is>
          <t>目标销售额</t>
        </is>
      </c>
      <c r="E30" s="20" t="inlineStr">
        <is>
          <t>销售额达成率</t>
        </is>
      </c>
      <c r="H30" s="21" t="inlineStr">
        <is>
          <t>产品系列</t>
        </is>
      </c>
      <c r="I30" s="21" t="inlineStr">
        <is>
          <t>新品销售额</t>
        </is>
      </c>
      <c r="J30" s="21" t="inlineStr">
        <is>
          <t>新品销量</t>
        </is>
      </c>
      <c r="K30" s="21" t="inlineStr">
        <is>
          <t>目标销售额</t>
        </is>
      </c>
      <c r="L30" s="21" t="inlineStr">
        <is>
          <t>销售额达成率</t>
        </is>
      </c>
    </row>
    <row r="31">
      <c r="A31" s="22" t="inlineStr">
        <is>
          <t>美国</t>
        </is>
      </c>
      <c r="B31" s="22">
        <f>SUMIF(数据录入!$B$5:$B$44,A31,数据录入!$D$5:$D$44)</f>
        <v/>
      </c>
      <c r="C31" s="22">
        <f>SUMIF(数据录入!$B$5:$B$44,A31,数据录入!$E$5:$E$44)</f>
        <v/>
      </c>
      <c r="D31" s="22">
        <f>SUMIF(数据录入!$B$5:$B$44,A31,数据录入!$G$5:$G$44)</f>
        <v/>
      </c>
      <c r="E31" s="23">
        <f>IFERROR(B31/D31,"")</f>
        <v/>
      </c>
      <c r="H31" s="24" t="inlineStr">
        <is>
          <t>大红袍系列</t>
        </is>
      </c>
      <c r="I31" s="24">
        <f>SUMIF(数据录入!$C$5:$C$44,H31,数据录入!$D$5:$D$44)</f>
        <v/>
      </c>
      <c r="J31" s="24">
        <f>SUMIF(数据录入!$C$5:$C$44,H31,数据录入!$E$5:$E$44)</f>
        <v/>
      </c>
      <c r="K31" s="24">
        <f>SUMIF(数据录入!$C$5:$C$44,H31,数据录入!$G$5:$G$44)</f>
        <v/>
      </c>
      <c r="L31" s="25">
        <f>IFERROR(I31/K31,"")</f>
        <v/>
      </c>
    </row>
    <row r="32">
      <c r="A32" s="26" t="inlineStr">
        <is>
          <t>英国</t>
        </is>
      </c>
      <c r="B32" s="26">
        <f>SUMIF(数据录入!$B$5:$B$44,A32,数据录入!$D$5:$D$44)</f>
        <v/>
      </c>
      <c r="C32" s="26">
        <f>SUMIF(数据录入!$B$5:$B$44,A32,数据录入!$E$5:$E$44)</f>
        <v/>
      </c>
      <c r="D32" s="26">
        <f>SUMIF(数据录入!$B$5:$B$44,A32,数据录入!$G$5:$G$44)</f>
        <v/>
      </c>
      <c r="E32" s="27">
        <f>IFERROR(B32/D32,"")</f>
        <v/>
      </c>
      <c r="H32" s="28" t="inlineStr">
        <is>
          <t>五黑系列</t>
        </is>
      </c>
      <c r="I32" s="28">
        <f>SUMIF(数据录入!$C$5:$C$44,H32,数据录入!$D$5:$D$44)</f>
        <v/>
      </c>
      <c r="J32" s="28">
        <f>SUMIF(数据录入!$C$5:$C$44,H32,数据录入!$E$5:$E$44)</f>
        <v/>
      </c>
      <c r="K32" s="28">
        <f>SUMIF(数据录入!$C$5:$C$44,H32,数据录入!$G$5:$G$44)</f>
        <v/>
      </c>
      <c r="L32" s="29">
        <f>IFERROR(I32/K32,"")</f>
        <v/>
      </c>
    </row>
    <row r="33">
      <c r="A33" s="22" t="inlineStr">
        <is>
          <t>韩国</t>
        </is>
      </c>
      <c r="B33" s="22">
        <f>SUMIF(数据录入!$B$5:$B$44,A33,数据录入!$D$5:$D$44)</f>
        <v/>
      </c>
      <c r="C33" s="22">
        <f>SUMIF(数据录入!$B$5:$B$44,A33,数据录入!$E$5:$E$44)</f>
        <v/>
      </c>
      <c r="D33" s="22">
        <f>SUMIF(数据录入!$B$5:$B$44,A33,数据录入!$G$5:$G$44)</f>
        <v/>
      </c>
      <c r="E33" s="23">
        <f>IFERROR(B33/D33,"")</f>
        <v/>
      </c>
      <c r="H33" s="24" t="inlineStr">
        <is>
          <t>五黄系列</t>
        </is>
      </c>
      <c r="I33" s="24">
        <f>SUMIF(数据录入!$C$5:$C$44,H33,数据录入!$D$5:$D$44)</f>
        <v/>
      </c>
      <c r="J33" s="24">
        <f>SUMIF(数据录入!$C$5:$C$44,H33,数据录入!$E$5:$E$44)</f>
        <v/>
      </c>
      <c r="K33" s="24">
        <f>SUMIF(数据录入!$C$5:$C$44,H33,数据录入!$G$5:$G$44)</f>
        <v/>
      </c>
      <c r="L33" s="25">
        <f>IFERROR(I33/K33,"")</f>
        <v/>
      </c>
    </row>
    <row r="34">
      <c r="A34" s="26" t="inlineStr">
        <is>
          <t>澳洲</t>
        </is>
      </c>
      <c r="B34" s="26">
        <f>SUMIF(数据录入!$B$5:$B$44,A34,数据录入!$D$5:$D$44)</f>
        <v/>
      </c>
      <c r="C34" s="26">
        <f>SUMIF(数据录入!$B$5:$B$44,A34,数据录入!$E$5:$E$44)</f>
        <v/>
      </c>
      <c r="D34" s="26">
        <f>SUMIF(数据录入!$B$5:$B$44,A34,数据录入!$G$5:$G$44)</f>
        <v/>
      </c>
      <c r="E34" s="27">
        <f>IFERROR(B34/D34,"")</f>
        <v/>
      </c>
      <c r="H34" s="28" t="inlineStr">
        <is>
          <t>布蕾系列</t>
        </is>
      </c>
      <c r="I34" s="28">
        <f>SUMIF(数据录入!$C$5:$C$44,H34,数据录入!$D$5:$D$44)</f>
        <v/>
      </c>
      <c r="J34" s="28">
        <f>SUMIF(数据录入!$C$5:$C$44,H34,数据录入!$E$5:$E$44)</f>
        <v/>
      </c>
      <c r="K34" s="28">
        <f>SUMIF(数据录入!$C$5:$C$44,H34,数据录入!$G$5:$G$44)</f>
        <v/>
      </c>
      <c r="L34" s="29">
        <f>IFERROR(I34/K34,"")</f>
        <v/>
      </c>
    </row>
    <row r="35">
      <c r="A35" s="22" t="inlineStr">
        <is>
          <t>马来西亚</t>
        </is>
      </c>
      <c r="B35" s="22">
        <f>SUMIF(数据录入!$B$5:$B$44,A35,数据录入!$D$5:$D$44)</f>
        <v/>
      </c>
      <c r="C35" s="22">
        <f>SUMIF(数据录入!$B$5:$B$44,A35,数据录入!$E$5:$E$44)</f>
        <v/>
      </c>
      <c r="D35" s="22">
        <f>SUMIF(数据录入!$B$5:$B$44,A35,数据录入!$G$5:$G$44)</f>
        <v/>
      </c>
      <c r="E35" s="23">
        <f>IFERROR(B35/D35,"")</f>
        <v/>
      </c>
      <c r="H35" s="24" t="inlineStr">
        <is>
          <t>杏果蔬系列</t>
        </is>
      </c>
      <c r="I35" s="24">
        <f>SUMIF(数据录入!$C$5:$C$44,H35,数据录入!$D$5:$D$44)</f>
        <v/>
      </c>
      <c r="J35" s="24">
        <f>SUMIF(数据录入!$C$5:$C$44,H35,数据录入!$E$5:$E$44)</f>
        <v/>
      </c>
      <c r="K35" s="24">
        <f>SUMIF(数据录入!$C$5:$C$44,H35,数据录入!$G$5:$G$44)</f>
        <v/>
      </c>
      <c r="L35" s="25">
        <f>IFERROR(I35/K35,"")</f>
        <v/>
      </c>
    </row>
    <row r="36">
      <c r="H36" s="28" t="inlineStr">
        <is>
          <t>抹茶系列</t>
        </is>
      </c>
      <c r="I36" s="28">
        <f>SUMIF(数据录入!$C$5:$C$44,H36,数据录入!$D$5:$D$44)</f>
        <v/>
      </c>
      <c r="J36" s="28">
        <f>SUMIF(数据录入!$C$5:$C$44,H36,数据录入!$E$5:$E$44)</f>
        <v/>
      </c>
      <c r="K36" s="28">
        <f>SUMIF(数据录入!$C$5:$C$44,H36,数据录入!$G$5:$G$44)</f>
        <v/>
      </c>
      <c r="L36" s="29">
        <f>IFERROR(I36/K36,"")</f>
        <v/>
      </c>
    </row>
    <row r="37">
      <c r="H37" s="24" t="inlineStr">
        <is>
          <t>龙井系列</t>
        </is>
      </c>
      <c r="I37" s="24">
        <f>SUMIF(数据录入!$C$5:$C$44,H37,数据录入!$D$5:$D$44)</f>
        <v/>
      </c>
      <c r="J37" s="24">
        <f>SUMIF(数据录入!$C$5:$C$44,H37,数据录入!$E$5:$E$44)</f>
        <v/>
      </c>
      <c r="K37" s="24">
        <f>SUMIF(数据录入!$C$5:$C$44,H37,数据录入!$G$5:$G$44)</f>
        <v/>
      </c>
      <c r="L37" s="25">
        <f>IFERROR(I37/K37,"")</f>
        <v/>
      </c>
    </row>
    <row r="38">
      <c r="H38" s="28" t="inlineStr">
        <is>
          <t>世界杯团餐</t>
        </is>
      </c>
      <c r="I38" s="28">
        <f>SUMIF(数据录入!$C$5:$C$44,H38,数据录入!$D$5:$D$44)</f>
        <v/>
      </c>
      <c r="J38" s="28">
        <f>SUMIF(数据录入!$C$5:$C$44,H38,数据录入!$E$5:$E$44)</f>
        <v/>
      </c>
      <c r="K38" s="28">
        <f>SUMIF(数据录入!$C$5:$C$44,H38,数据录入!$G$5:$G$44)</f>
        <v/>
      </c>
      <c r="L38" s="29">
        <f>IFERROR(I38/K38,"")</f>
        <v/>
      </c>
    </row>
  </sheetData>
  <mergeCells count="12">
    <mergeCell ref="A4:D6"/>
    <mergeCell ref="M4:Q6"/>
    <mergeCell ref="E3:H3"/>
    <mergeCell ref="I3:L3"/>
    <mergeCell ref="A3:D3"/>
    <mergeCell ref="A20:Q20"/>
    <mergeCell ref="A2:Q2"/>
    <mergeCell ref="A21:Q24"/>
    <mergeCell ref="E4:H6"/>
    <mergeCell ref="I4:L6"/>
    <mergeCell ref="M3:Q3"/>
    <mergeCell ref="A1:Q1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 ht="36" customHeight="1">
      <c r="A1" s="30" t="inlineStr">
        <is>
          <t>填写说明｜新品上市各国销售数据模板</t>
        </is>
      </c>
    </row>
    <row r="3" ht="48" customHeight="1">
      <c r="A3" s="31" t="inlineStr">
        <is>
          <t>1. 数据录入</t>
        </is>
      </c>
      <c r="B3" s="32" t="inlineStr">
        <is>
          <t>在“数据录入”页的蓝色区域填写数据。每行代表一个“市场 × 产品系列”的组合。</t>
        </is>
      </c>
      <c r="C3" s="33" t="n"/>
      <c r="D3" s="33" t="n"/>
      <c r="E3" s="33" t="n"/>
      <c r="F3" s="33" t="n"/>
      <c r="G3" s="33" t="n"/>
      <c r="H3" s="33" t="n"/>
    </row>
    <row r="4" ht="48" customHeight="1">
      <c r="A4" s="31" t="inlineStr">
        <is>
          <t>2. 最小必填字段</t>
        </is>
      </c>
      <c r="B4" s="32" t="inlineStr">
        <is>
          <t>国家/市场、产品系列、新品销售额、新品销量。月度与目标销售额属于增强分析字段。</t>
        </is>
      </c>
      <c r="C4" s="33" t="n"/>
      <c r="D4" s="33" t="n"/>
      <c r="E4" s="33" t="n"/>
      <c r="F4" s="33" t="n"/>
      <c r="G4" s="33" t="n"/>
      <c r="H4" s="33" t="n"/>
    </row>
    <row r="5" ht="48" customHeight="1">
      <c r="A5" s="31" t="inlineStr">
        <is>
          <t>3. 统计口径</t>
        </is>
      </c>
      <c r="B5" s="32" t="inlineStr">
        <is>
          <t>新品销售额请统一币种；新品销量请统一单位（如杯、份、件）。若不同市场无法统一，建议增加“币种”和“汇率”字段后换算。</t>
        </is>
      </c>
      <c r="C5" s="33" t="n"/>
      <c r="D5" s="33" t="n"/>
      <c r="E5" s="33" t="n"/>
      <c r="F5" s="33" t="n"/>
      <c r="G5" s="33" t="n"/>
      <c r="H5" s="33" t="n"/>
    </row>
    <row r="6" ht="48" customHeight="1">
      <c r="A6" s="31" t="inlineStr">
        <is>
          <t>4. 图表使用</t>
        </is>
      </c>
      <c r="B6" s="32" t="inlineStr">
        <is>
          <t>“图表看板”中的两个图表读取辅助汇总表，将随数据自动更新。可右键复制至 PowerPoint 或另存为图片。</t>
        </is>
      </c>
      <c r="C6" s="33" t="n"/>
      <c r="D6" s="33" t="n"/>
      <c r="E6" s="33" t="n"/>
      <c r="F6" s="33" t="n"/>
      <c r="G6" s="33" t="n"/>
      <c r="H6" s="33" t="n"/>
    </row>
    <row r="7" ht="48" customHeight="1">
      <c r="A7" s="31" t="inlineStr">
        <is>
          <t>5. 建议补充字段</t>
        </is>
      </c>
      <c r="B7" s="32" t="inlineStr">
        <is>
          <t>新品销售占比、目标销售额、销售额达成率、上新后 7/30 天销售额、渠道、门店数、投放费用、ROI。</t>
        </is>
      </c>
      <c r="C7" s="33" t="n"/>
      <c r="D7" s="33" t="n"/>
      <c r="E7" s="33" t="n"/>
      <c r="F7" s="33" t="n"/>
      <c r="G7" s="33" t="n"/>
      <c r="H7" s="33" t="n"/>
    </row>
    <row r="8" ht="48" customHeight="1">
      <c r="A8" s="31" t="inlineStr">
        <is>
          <t>6. 数据范围</t>
        </is>
      </c>
      <c r="B8" s="32" t="inlineStr">
        <is>
          <t>模板预置 8 个 H1 上新产品系列 × 5 个重点市场，共 40 行。如需扩展市场或产品，请复制相应行并同步更新图表看板中的公式范围。</t>
        </is>
      </c>
      <c r="C8" s="33" t="n"/>
      <c r="D8" s="33" t="n"/>
      <c r="E8" s="33" t="n"/>
      <c r="F8" s="33" t="n"/>
      <c r="G8" s="33" t="n"/>
      <c r="H8" s="33" t="n"/>
    </row>
  </sheetData>
  <mergeCells count="7">
    <mergeCell ref="B8:H8"/>
    <mergeCell ref="B4:H4"/>
    <mergeCell ref="B6:H6"/>
    <mergeCell ref="B7:H7"/>
    <mergeCell ref="A1:H1"/>
    <mergeCell ref="B3:H3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2026-07-18T16:44:59Z</dcterms:created>
  <dcterms:modified xsi:type="dcterms:W3CDTF">2026-07-18T16:45:00Z</dcterms:modified>
</cp:coreProperties>
</file>